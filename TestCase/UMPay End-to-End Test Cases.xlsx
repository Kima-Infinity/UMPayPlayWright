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9" autoFilterDateGrouping="1"/>
  </bookViews>
  <sheets>
    <sheet name="Login" sheetId="1" state="visible" r:id="rId1"/>
    <sheet name="Register" sheetId="2" state="visible" r:id="rId2"/>
    <sheet name="Reset_Password" sheetId="3" state="visible" r:id="rId3"/>
    <sheet name="Deposit" sheetId="4" state="visible" r:id="rId4"/>
    <sheet name="Withdraw" sheetId="5" state="visible" r:id="rId5"/>
    <sheet name="Transfer" sheetId="6" state="visible" r:id="rId6"/>
    <sheet name="Convert" sheetId="7" state="visible" r:id="rId7"/>
    <sheet name="International_School_Fee" sheetId="8" state="visible" r:id="rId8"/>
    <sheet name="Domestic_Transfer" sheetId="9" state="visible" r:id="rId9"/>
    <sheet name="Global_Transfer" sheetId="10" state="visible" r:id="rId10"/>
    <sheet name="Profile" sheetId="11" state="visible" r:id="rId11"/>
    <sheet name="Bills" sheetId="12" state="visible" r:id="rId12"/>
    <sheet name="Notification" sheetId="13" state="visible" r:id="rId13"/>
    <sheet name="Trade_Record" sheetId="14" state="visible" r:id="rId14"/>
    <sheet name="Wallet" sheetId="15" state="visible" r:id="rId15"/>
    <sheet name="Payment" sheetId="16" state="visible" r:id="rId16"/>
    <sheet name="Template" sheetId="17" state="visible" r:id="rId17"/>
    <sheet name="Transfer_Fee_Setting" sheetId="18" state="visible" r:id="rId18"/>
    <sheet name="Security" sheetId="19" state="visible" r:id="rId19"/>
    <sheet name="Languages" sheetId="20" state="visible" r:id="rId20"/>
    <sheet name="Settings" sheetId="21" state="visible" r:id="rId21"/>
    <sheet name="Document_Verification" sheetId="22" state="visible" r:id="rId22"/>
    <sheet name="QR_Code" sheetId="23" state="visible" r:id="rId23"/>
    <sheet name="Commission_Listing" sheetId="24" state="visible" r:id="rId24"/>
    <sheet name="Fee_Listing" sheetId="25" state="visible" r:id="rId25"/>
    <sheet name="User_List" sheetId="26" state="visible" r:id="rId26"/>
    <sheet name="Home" sheetId="27" state="visible" r:id="rId27"/>
    <sheet name="Test Result" sheetId="28" state="visible" r:id="rId28"/>
    <sheet name="METADATA" sheetId="29" state="visible" r:id="rId29"/>
  </sheets>
  <definedNames>
    <definedName name="_xlnm._FilterDatabase" localSheetId="0" hidden="1">'Login'!$A$8:$AA$23</definedName>
    <definedName name="_xlnm._FilterDatabase" localSheetId="1" hidden="1">'Register'!$A$8:$AA$14</definedName>
    <definedName name="_xlnm._FilterDatabase" localSheetId="2" hidden="1">'Reset_Password'!$A$8:$AA$23</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MMMM\ DD&quot;, &quot;YYYY"/>
    <numFmt numFmtId="165" formatCode="[$-409]M/D/YYYY"/>
    <numFmt numFmtId="166" formatCode="00.00%"/>
    <numFmt numFmtId="167" formatCode="yyyy-mm-dd"/>
  </numFmts>
  <fonts count="13">
    <font>
      <name val="Arial"/>
      <charset val="1"/>
      <family val="0"/>
      <color rgb="FF000000"/>
      <sz val="10"/>
    </font>
    <font>
      <name val="Arial"/>
      <family val="0"/>
      <sz val="10"/>
    </font>
    <font>
      <name val="Arial"/>
      <family val="0"/>
      <sz val="10"/>
    </font>
    <font>
      <name val="Arial"/>
      <family val="0"/>
      <sz val="10"/>
    </font>
    <font>
      <name val="Arial"/>
      <charset val="1"/>
      <family val="0"/>
      <b val="1"/>
      <color rgb="FF000000"/>
      <sz val="11"/>
    </font>
    <font>
      <name val="Arial"/>
      <charset val="1"/>
      <family val="0"/>
      <color rgb="FF000000"/>
      <sz val="11"/>
    </font>
    <font>
      <name val="Arial"/>
      <charset val="1"/>
      <family val="0"/>
      <b val="1"/>
      <color rgb="FF000000"/>
      <sz val="12"/>
    </font>
    <font>
      <name val="Arial"/>
      <charset val="1"/>
      <family val="0"/>
      <b val="1"/>
      <color rgb="FF000000"/>
      <sz val="13"/>
    </font>
    <font>
      <name val="Arial"/>
      <charset val="1"/>
      <family val="0"/>
      <color rgb="FF000000"/>
      <sz val="12"/>
    </font>
    <font>
      <name val="Calibri"/>
      <charset val="1"/>
      <family val="0"/>
      <color rgb="FF000000"/>
      <sz val="13"/>
    </font>
    <font>
      <name val="Calibri"/>
      <charset val="1"/>
      <family val="0"/>
      <b val="1"/>
      <color rgb="FF000000"/>
      <sz val="13"/>
    </font>
    <font>
      <b val="1"/>
    </font>
    <font>
      <color rgb="000563C1"/>
      <u val="single"/>
    </font>
  </fonts>
  <fills count="12">
    <fill>
      <patternFill/>
    </fill>
    <fill>
      <patternFill patternType="gray125"/>
    </fill>
    <fill>
      <patternFill patternType="solid">
        <fgColor rgb="FFB6D7A8"/>
        <bgColor rgb="FF9FC5E8"/>
      </patternFill>
    </fill>
    <fill>
      <patternFill patternType="solid">
        <fgColor rgb="FFEA9999"/>
        <bgColor rgb="FFD5A6BD"/>
      </patternFill>
    </fill>
    <fill>
      <patternFill patternType="solid">
        <fgColor rgb="FFFFE599"/>
        <bgColor rgb="FFFFFF99"/>
      </patternFill>
    </fill>
    <fill>
      <patternFill patternType="solid">
        <fgColor rgb="FF9FC5E8"/>
        <bgColor rgb="FFB6D7A8"/>
      </patternFill>
    </fill>
    <fill>
      <patternFill patternType="solid">
        <fgColor rgb="FFFFFFFF"/>
        <bgColor rgb="FFFFFFCC"/>
      </patternFill>
    </fill>
    <fill>
      <patternFill patternType="solid">
        <fgColor rgb="FFC9DAF8"/>
        <bgColor rgb="FFB6D7A8"/>
      </patternFill>
    </fill>
    <fill>
      <patternFill patternType="solid">
        <fgColor rgb="FF00D138"/>
        <bgColor rgb="FF339966"/>
      </patternFill>
    </fill>
    <fill>
      <patternFill patternType="solid">
        <fgColor rgb="FFEA0B0B"/>
        <bgColor rgb="FF993300"/>
      </patternFill>
    </fill>
    <fill>
      <patternFill patternType="solid">
        <fgColor rgb="FFFBBC04"/>
        <bgColor rgb="FFFF9900"/>
      </patternFill>
    </fill>
    <fill>
      <patternFill patternType="solid">
        <fgColor rgb="FFD5A6BD"/>
        <bgColor rgb="FFEA9999"/>
      </patternFill>
    </fill>
  </fills>
  <borders count="7">
    <border>
      <left/>
      <right/>
      <top/>
      <bottom/>
      <diagonal/>
    </border>
    <border>
      <left style="thin"/>
      <right style="thin"/>
      <top style="thin"/>
      <bottom style="thin"/>
      <diagonal/>
    </border>
    <border>
      <left/>
      <right style="thin"/>
      <top/>
      <bottom style="thin"/>
      <diagonal/>
    </border>
    <border>
      <left/>
      <right style="thin"/>
      <top style="thin"/>
      <bottom style="thin"/>
      <diagonal/>
    </border>
    <border>
      <left style="thin"/>
      <right style="thin"/>
      <top style="thin"/>
      <bottom/>
      <diagonal/>
    </border>
    <border>
      <left/>
      <right/>
      <top style="thin"/>
      <bottom/>
      <diagonal/>
    </border>
    <border>
      <left/>
      <right style="thin"/>
      <top style="thin"/>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4">
    <xf numFmtId="0" fontId="0" fillId="0" borderId="0" applyAlignment="1" pivotButton="0" quotePrefix="0" xfId="0">
      <alignment horizontal="general" vertical="bottom"/>
    </xf>
    <xf numFmtId="0" fontId="4" fillId="0" borderId="1" applyAlignment="1" pivotButton="0" quotePrefix="0" xfId="0">
      <alignment horizontal="general" vertical="center"/>
    </xf>
    <xf numFmtId="0" fontId="5" fillId="0" borderId="1" applyAlignment="1" pivotButton="0" quotePrefix="0" xfId="0">
      <alignment horizontal="center" vertical="center"/>
    </xf>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5" fillId="0" borderId="0" applyAlignment="1" pivotButton="0" quotePrefix="0" xfId="0">
      <alignment horizontal="general" vertical="center"/>
    </xf>
    <xf numFmtId="0" fontId="4" fillId="0" borderId="1" applyAlignment="1" pivotButton="0" quotePrefix="0" xfId="0">
      <alignment horizontal="general" vertical="bottom"/>
    </xf>
    <xf numFmtId="0" fontId="5" fillId="0" borderId="1" applyAlignment="1" pivotButton="0" quotePrefix="0" xfId="0">
      <alignment horizontal="general" vertical="bottom"/>
    </xf>
    <xf numFmtId="0" fontId="5" fillId="0" borderId="0" applyAlignment="1" pivotButton="0" quotePrefix="0" xfId="0">
      <alignment horizontal="center" vertical="bottom"/>
    </xf>
    <xf numFmtId="0" fontId="5" fillId="0" borderId="0" applyAlignment="1" pivotButton="0" quotePrefix="0" xfId="0">
      <alignment horizontal="right" vertical="bottom"/>
    </xf>
    <xf numFmtId="0" fontId="5" fillId="2" borderId="0" applyAlignment="1" pivotButton="0" quotePrefix="0" xfId="0">
      <alignment horizontal="right" vertical="bottom"/>
    </xf>
    <xf numFmtId="0" fontId="5" fillId="3" borderId="0" applyAlignment="1" pivotButton="0" quotePrefix="0" xfId="0">
      <alignment horizontal="right" vertical="bottom"/>
    </xf>
    <xf numFmtId="164" fontId="5" fillId="0" borderId="1" applyAlignment="1" pivotButton="0" quotePrefix="0" xfId="0">
      <alignment horizontal="left" vertical="bottom"/>
    </xf>
    <xf numFmtId="0" fontId="5" fillId="4" borderId="0" applyAlignment="1" pivotButton="0" quotePrefix="0" xfId="0">
      <alignment horizontal="right" vertical="bottom"/>
    </xf>
    <xf numFmtId="0" fontId="4" fillId="5" borderId="1" applyAlignment="1" pivotButton="0" quotePrefix="0" xfId="0">
      <alignment horizontal="general" vertical="bottom"/>
    </xf>
    <xf numFmtId="0" fontId="5" fillId="0" borderId="1" applyAlignment="1" pivotButton="0" quotePrefix="0" xfId="0">
      <alignment horizontal="general" vertical="top"/>
    </xf>
    <xf numFmtId="0" fontId="4" fillId="6" borderId="1" applyAlignment="1" pivotButton="0" quotePrefix="0" xfId="0">
      <alignment horizontal="center" vertical="bottom" wrapText="1"/>
    </xf>
    <xf numFmtId="0" fontId="5" fillId="6" borderId="2" applyAlignment="1" pivotButton="0" quotePrefix="0" xfId="0">
      <alignment horizontal="general" vertical="top" wrapText="1"/>
    </xf>
    <xf numFmtId="0" fontId="5" fillId="0" borderId="1" applyAlignment="1" pivotButton="0" quotePrefix="0" xfId="0">
      <alignment horizontal="general" vertical="center"/>
    </xf>
    <xf numFmtId="0" fontId="5" fillId="6" borderId="1" applyAlignment="1" pivotButton="0" quotePrefix="0" xfId="0">
      <alignment horizontal="general" vertical="top" wrapText="1"/>
    </xf>
    <xf numFmtId="0" fontId="5" fillId="0" borderId="1" applyAlignment="1" pivotButton="0" quotePrefix="0" xfId="0">
      <alignment horizontal="general" vertical="top" wrapText="1"/>
    </xf>
    <xf numFmtId="0" fontId="5" fillId="0" borderId="3" applyAlignment="1" pivotButton="0" quotePrefix="0" xfId="0">
      <alignment horizontal="general" vertical="top" wrapText="1"/>
    </xf>
    <xf numFmtId="0" fontId="5" fillId="0" borderId="1" applyAlignment="1" pivotButton="0" quotePrefix="0" xfId="0">
      <alignment horizontal="center" vertical="bottom"/>
    </xf>
    <xf numFmtId="165" fontId="5" fillId="0" borderId="1" applyAlignment="1" pivotButton="0" quotePrefix="0" xfId="0">
      <alignment horizontal="center" vertical="center"/>
    </xf>
    <xf numFmtId="0" fontId="5" fillId="0" borderId="1" applyAlignment="1" pivotButton="0" quotePrefix="0" xfId="0">
      <alignment horizontal="center" vertical="center" wrapText="1"/>
    </xf>
    <xf numFmtId="0" fontId="4" fillId="6" borderId="4" applyAlignment="1" pivotButton="0" quotePrefix="0" xfId="0">
      <alignment horizontal="center" vertical="center" wrapText="1"/>
    </xf>
    <xf numFmtId="0" fontId="4" fillId="6" borderId="1" applyAlignment="1" pivotButton="0" quotePrefix="0" xfId="0">
      <alignment horizontal="center" vertical="center" wrapText="1"/>
    </xf>
    <xf numFmtId="0" fontId="5" fillId="0" borderId="1" applyAlignment="1" pivotButton="0" quotePrefix="0" xfId="0">
      <alignment horizontal="general" vertical="bottom"/>
    </xf>
    <xf numFmtId="0" fontId="6" fillId="6" borderId="0" applyAlignment="1" pivotButton="0" quotePrefix="0" xfId="0">
      <alignment horizontal="center" vertical="bottom"/>
    </xf>
    <xf numFmtId="0" fontId="6" fillId="0" borderId="0" applyAlignment="1" pivotButton="0" quotePrefix="0" xfId="0">
      <alignment horizontal="center" vertical="bottom"/>
    </xf>
    <xf numFmtId="0" fontId="6" fillId="7" borderId="1" applyAlignment="1" pivotButton="0" quotePrefix="0" xfId="0">
      <alignment horizontal="center" vertical="bottom"/>
    </xf>
    <xf numFmtId="0" fontId="7" fillId="7" borderId="1" applyAlignment="1" pivotButton="0" quotePrefix="0" xfId="0">
      <alignment horizontal="center" vertical="bottom"/>
    </xf>
    <xf numFmtId="0" fontId="8" fillId="6" borderId="0" applyAlignment="1" pivotButton="0" quotePrefix="0" xfId="0">
      <alignment horizontal="center" vertical="bottom"/>
    </xf>
    <xf numFmtId="0" fontId="8" fillId="6" borderId="1" applyAlignment="1" pivotButton="0" quotePrefix="0" xfId="0">
      <alignment horizontal="center" vertical="bottom"/>
    </xf>
    <xf numFmtId="0" fontId="9" fillId="6" borderId="1" applyAlignment="1" pivotButton="0" quotePrefix="0" xfId="0">
      <alignment horizontal="center" vertical="bottom"/>
    </xf>
    <xf numFmtId="0" fontId="10" fillId="8" borderId="1" applyAlignment="1" pivotButton="0" quotePrefix="0" xfId="0">
      <alignment horizontal="center" vertical="bottom"/>
    </xf>
    <xf numFmtId="0" fontId="6" fillId="8" borderId="1" applyAlignment="1" pivotButton="0" quotePrefix="0" xfId="0">
      <alignment horizontal="center" vertical="bottom"/>
    </xf>
    <xf numFmtId="166" fontId="6" fillId="8" borderId="1" applyAlignment="1" pivotButton="0" quotePrefix="0" xfId="0">
      <alignment horizontal="general" vertical="bottom"/>
    </xf>
    <xf numFmtId="0" fontId="10" fillId="9" borderId="1" applyAlignment="1" pivotButton="0" quotePrefix="0" xfId="0">
      <alignment horizontal="center" vertical="bottom"/>
    </xf>
    <xf numFmtId="0" fontId="6" fillId="9" borderId="1" applyAlignment="1" pivotButton="0" quotePrefix="0" xfId="0">
      <alignment horizontal="center" vertical="bottom"/>
    </xf>
    <xf numFmtId="166" fontId="6" fillId="9" borderId="1" applyAlignment="1" pivotButton="0" quotePrefix="0" xfId="0">
      <alignment horizontal="general" vertical="bottom"/>
    </xf>
    <xf numFmtId="0" fontId="9" fillId="6" borderId="0" applyAlignment="1" pivotButton="0" quotePrefix="0" xfId="0">
      <alignment horizontal="center" vertical="bottom"/>
    </xf>
    <xf numFmtId="0" fontId="10" fillId="10" borderId="1" applyAlignment="1" pivotButton="0" quotePrefix="0" xfId="0">
      <alignment horizontal="center" vertical="bottom"/>
    </xf>
    <xf numFmtId="0" fontId="6" fillId="10" borderId="1" applyAlignment="1" pivotButton="0" quotePrefix="0" xfId="0">
      <alignment horizontal="center" vertical="bottom"/>
    </xf>
    <xf numFmtId="166" fontId="6" fillId="10" borderId="1" applyAlignment="1" pivotButton="0" quotePrefix="0" xfId="0">
      <alignment horizontal="general" vertical="bottom"/>
    </xf>
    <xf numFmtId="0" fontId="8" fillId="0" borderId="0" applyAlignment="1" pivotButton="0" quotePrefix="0" xfId="0">
      <alignment horizontal="general" vertical="bottom"/>
    </xf>
    <xf numFmtId="0" fontId="10" fillId="11" borderId="1" applyAlignment="1" pivotButton="0" quotePrefix="0" xfId="0">
      <alignment horizontal="center" vertical="bottom"/>
    </xf>
    <xf numFmtId="0" fontId="10" fillId="0" borderId="0" applyAlignment="1" pivotButton="0" quotePrefix="0" xfId="0">
      <alignment horizontal="center" vertical="bottom"/>
    </xf>
    <xf numFmtId="0" fontId="10" fillId="7" borderId="1" applyAlignment="1" pivotButton="0" quotePrefix="0" xfId="0">
      <alignment horizontal="center" vertical="bottom"/>
    </xf>
    <xf numFmtId="0" fontId="5" fillId="6"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general" vertical="center"/>
    </xf>
    <xf numFmtId="0" fontId="5" fillId="0" borderId="1" applyAlignment="1" pivotButton="0" quotePrefix="0" xfId="0">
      <alignment horizontal="center" vertical="center"/>
    </xf>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5" fillId="0" borderId="0" applyAlignment="1" pivotButton="0" quotePrefix="0" xfId="0">
      <alignment horizontal="general" vertical="center"/>
    </xf>
    <xf numFmtId="0" fontId="4" fillId="0" borderId="1" applyAlignment="1" pivotButton="0" quotePrefix="0" xfId="0">
      <alignment horizontal="general" vertical="bottom"/>
    </xf>
    <xf numFmtId="0" fontId="5" fillId="0" borderId="1" applyAlignment="1" pivotButton="0" quotePrefix="0" xfId="0">
      <alignment horizontal="general" vertical="bottom"/>
    </xf>
    <xf numFmtId="0" fontId="5" fillId="0" borderId="0" applyAlignment="1" pivotButton="0" quotePrefix="0" xfId="0">
      <alignment horizontal="center" vertical="bottom"/>
    </xf>
    <xf numFmtId="0" fontId="5" fillId="0" borderId="0" applyAlignment="1" pivotButton="0" quotePrefix="0" xfId="0">
      <alignment horizontal="right" vertical="bottom"/>
    </xf>
    <xf numFmtId="0" fontId="5" fillId="2" borderId="0" applyAlignment="1" pivotButton="0" quotePrefix="0" xfId="0">
      <alignment horizontal="right" vertical="bottom"/>
    </xf>
    <xf numFmtId="0" fontId="5" fillId="3" borderId="0" applyAlignment="1" pivotButton="0" quotePrefix="0" xfId="0">
      <alignment horizontal="right" vertical="bottom"/>
    </xf>
    <xf numFmtId="164" fontId="5" fillId="0" borderId="1" applyAlignment="1" pivotButton="0" quotePrefix="0" xfId="0">
      <alignment horizontal="left" vertical="bottom"/>
    </xf>
    <xf numFmtId="0" fontId="5" fillId="4" borderId="0" applyAlignment="1" pivotButton="0" quotePrefix="0" xfId="0">
      <alignment horizontal="right" vertical="bottom"/>
    </xf>
    <xf numFmtId="0" fontId="4" fillId="5" borderId="1" applyAlignment="1" pivotButton="0" quotePrefix="0" xfId="0">
      <alignment horizontal="general" vertical="bottom"/>
    </xf>
    <xf numFmtId="0" fontId="11" fillId="0" borderId="0" applyAlignment="1" pivotButton="0" quotePrefix="0" xfId="0">
      <alignment horizontal="center" vertical="center"/>
    </xf>
    <xf numFmtId="0" fontId="5" fillId="0" borderId="1" applyAlignment="1" pivotButton="0" quotePrefix="0" xfId="0">
      <alignment horizontal="general" vertical="top"/>
    </xf>
    <xf numFmtId="0" fontId="4" fillId="6" borderId="1" applyAlignment="1" pivotButton="0" quotePrefix="0" xfId="0">
      <alignment horizontal="center" vertical="bottom" wrapText="1"/>
    </xf>
    <xf numFmtId="0" fontId="5" fillId="6" borderId="2" applyAlignment="1" pivotButton="0" quotePrefix="0" xfId="0">
      <alignment horizontal="general" vertical="top" wrapText="1"/>
    </xf>
    <xf numFmtId="0" fontId="5" fillId="0" borderId="1" applyAlignment="1" pivotButton="0" quotePrefix="0" xfId="0">
      <alignment horizontal="general" vertical="center"/>
    </xf>
    <xf numFmtId="0" fontId="5" fillId="6" borderId="1" applyAlignment="1" pivotButton="0" quotePrefix="0" xfId="0">
      <alignment horizontal="general" vertical="top" wrapText="1"/>
    </xf>
    <xf numFmtId="0" fontId="5" fillId="0" borderId="1" applyAlignment="1" pivotButton="0" quotePrefix="0" xfId="0">
      <alignment horizontal="general" vertical="top" wrapText="1"/>
    </xf>
    <xf numFmtId="0" fontId="5" fillId="0" borderId="3" applyAlignment="1" pivotButton="0" quotePrefix="0" xfId="0">
      <alignment horizontal="general" vertical="top" wrapText="1"/>
    </xf>
    <xf numFmtId="0" fontId="5" fillId="0" borderId="1" applyAlignment="1" pivotButton="0" quotePrefix="0" xfId="0">
      <alignment horizontal="center" vertical="bottom"/>
    </xf>
    <xf numFmtId="165" fontId="5" fillId="0" borderId="1" applyAlignment="1" pivotButton="0" quotePrefix="0" xfId="0">
      <alignment horizontal="center" vertical="center"/>
    </xf>
    <xf numFmtId="0" fontId="5" fillId="0" borderId="1" applyAlignment="1" pivotButton="0" quotePrefix="0" xfId="0">
      <alignment horizontal="center" vertical="center" wrapText="1"/>
    </xf>
    <xf numFmtId="0" fontId="12" fillId="0" borderId="0" applyAlignment="1" pivotButton="0" quotePrefix="0" xfId="0">
      <alignment horizontal="center" vertical="center"/>
    </xf>
    <xf numFmtId="0" fontId="4" fillId="6" borderId="4" applyAlignment="1" pivotButton="0" quotePrefix="0" xfId="0">
      <alignment horizontal="center" vertical="center" wrapText="1"/>
    </xf>
    <xf numFmtId="0" fontId="4" fillId="6" borderId="1" applyAlignment="1" pivotButton="0" quotePrefix="0" xfId="0">
      <alignment horizontal="center" vertical="center" wrapText="1"/>
    </xf>
    <xf numFmtId="0" fontId="6" fillId="6" borderId="0" applyAlignment="1" pivotButton="0" quotePrefix="0" xfId="0">
      <alignment horizontal="center" vertical="bottom"/>
    </xf>
    <xf numFmtId="0" fontId="6" fillId="0" borderId="0" applyAlignment="1" pivotButton="0" quotePrefix="0" xfId="0">
      <alignment horizontal="center" vertical="bottom"/>
    </xf>
    <xf numFmtId="0" fontId="6" fillId="7" borderId="1" applyAlignment="1" pivotButton="0" quotePrefix="0" xfId="0">
      <alignment horizontal="center" vertical="bottom"/>
    </xf>
    <xf numFmtId="0" fontId="0" fillId="0" borderId="3" pivotButton="0" quotePrefix="0" xfId="0"/>
    <xf numFmtId="0" fontId="7" fillId="7" borderId="1" applyAlignment="1" pivotButton="0" quotePrefix="0" xfId="0">
      <alignment horizontal="center" vertical="bottom"/>
    </xf>
    <xf numFmtId="0" fontId="8" fillId="6" borderId="0" applyAlignment="1" pivotButton="0" quotePrefix="0" xfId="0">
      <alignment horizontal="center" vertical="bottom"/>
    </xf>
    <xf numFmtId="0" fontId="8" fillId="6" borderId="1" applyAlignment="1" pivotButton="0" quotePrefix="0" xfId="0">
      <alignment horizontal="center" vertical="bottom"/>
    </xf>
    <xf numFmtId="0" fontId="9" fillId="6" borderId="1" applyAlignment="1" pivotButton="0" quotePrefix="0" xfId="0">
      <alignment horizontal="center" vertical="bottom"/>
    </xf>
    <xf numFmtId="0" fontId="10" fillId="8" borderId="1" applyAlignment="1" pivotButton="0" quotePrefix="0" xfId="0">
      <alignment horizontal="center" vertical="bottom"/>
    </xf>
    <xf numFmtId="0" fontId="6" fillId="8" borderId="1" applyAlignment="1" pivotButton="0" quotePrefix="0" xfId="0">
      <alignment horizontal="center" vertical="bottom"/>
    </xf>
    <xf numFmtId="166" fontId="6" fillId="8" borderId="1" applyAlignment="1" pivotButton="0" quotePrefix="0" xfId="0">
      <alignment horizontal="general" vertical="bottom"/>
    </xf>
    <xf numFmtId="0" fontId="10" fillId="9" borderId="1" applyAlignment="1" pivotButton="0" quotePrefix="0" xfId="0">
      <alignment horizontal="center" vertical="bottom"/>
    </xf>
    <xf numFmtId="0" fontId="6" fillId="9" borderId="1" applyAlignment="1" pivotButton="0" quotePrefix="0" xfId="0">
      <alignment horizontal="center" vertical="bottom"/>
    </xf>
    <xf numFmtId="166" fontId="6" fillId="9" borderId="1" applyAlignment="1" pivotButton="0" quotePrefix="0" xfId="0">
      <alignment horizontal="general" vertical="bottom"/>
    </xf>
    <xf numFmtId="0" fontId="9" fillId="6" borderId="0" applyAlignment="1" pivotButton="0" quotePrefix="0" xfId="0">
      <alignment horizontal="center" vertical="bottom"/>
    </xf>
    <xf numFmtId="0" fontId="10" fillId="10" borderId="1" applyAlignment="1" pivotButton="0" quotePrefix="0" xfId="0">
      <alignment horizontal="center" vertical="bottom"/>
    </xf>
    <xf numFmtId="0" fontId="6" fillId="10" borderId="1" applyAlignment="1" pivotButton="0" quotePrefix="0" xfId="0">
      <alignment horizontal="center" vertical="bottom"/>
    </xf>
    <xf numFmtId="166" fontId="6" fillId="10" borderId="1" applyAlignment="1" pivotButton="0" quotePrefix="0" xfId="0">
      <alignment horizontal="general" vertical="bottom"/>
    </xf>
    <xf numFmtId="0" fontId="8" fillId="0" borderId="0" applyAlignment="1" pivotButton="0" quotePrefix="0" xfId="0">
      <alignment horizontal="general" vertical="bottom"/>
    </xf>
    <xf numFmtId="0" fontId="10" fillId="11" borderId="1" applyAlignment="1" pivotButton="0" quotePrefix="0" xfId="0">
      <alignment horizontal="center" vertical="bottom"/>
    </xf>
    <xf numFmtId="0" fontId="10" fillId="0" borderId="0" applyAlignment="1" pivotButton="0" quotePrefix="0" xfId="0">
      <alignment horizontal="center" vertical="bottom"/>
    </xf>
    <xf numFmtId="0" fontId="10" fillId="7" borderId="1" applyAlignment="1" pivotButton="0" quotePrefix="0" xfId="0">
      <alignment horizontal="center" vertical="bottom"/>
    </xf>
    <xf numFmtId="0" fontId="5" fillId="6" borderId="0" applyAlignment="1" pivotButton="0" quotePrefix="0" xfId="0">
      <alignment horizontal="general" vertical="bottom"/>
    </xf>
    <xf numFmtId="167" fontId="5" fillId="0"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EA0B0B"/>
      <rgbColor rgb="FF00D138"/>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FC5E8"/>
      <rgbColor rgb="FFEA9999"/>
      <rgbColor rgb="FFD5A6BD"/>
      <rgbColor rgb="FFFFE599"/>
      <rgbColor rgb="FF3366FF"/>
      <rgbColor rgb="FF33CCCC"/>
      <rgbColor rgb="FF99CC00"/>
      <rgbColor rgb="FFFBBC04"/>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un/Login_TC_001.cmd" TargetMode="External" Id="rId1" /><Relationship Type="http://schemas.openxmlformats.org/officeDocument/2006/relationships/hyperlink" Target="run/Login_TC_002.cmd" TargetMode="External" Id="rId2" /><Relationship Type="http://schemas.openxmlformats.org/officeDocument/2006/relationships/hyperlink" Target="run/Login_TC_003.cmd" TargetMode="External" Id="rId3" /><Relationship Type="http://schemas.openxmlformats.org/officeDocument/2006/relationships/hyperlink" Target="run/Login_TC_004.cmd" TargetMode="External" Id="rId4" /><Relationship Type="http://schemas.openxmlformats.org/officeDocument/2006/relationships/hyperlink" Target="run/Login_TC_005.cmd" TargetMode="External" Id="rId5" /><Relationship Type="http://schemas.openxmlformats.org/officeDocument/2006/relationships/hyperlink" Target="run/Login_TC_006.cmd" TargetMode="External" Id="rId6" /><Relationship Type="http://schemas.openxmlformats.org/officeDocument/2006/relationships/hyperlink" Target="run/Login_TC_007.cmd" TargetMode="External" Id="rId7" /><Relationship Type="http://schemas.openxmlformats.org/officeDocument/2006/relationships/hyperlink" Target="run/Login_TC_008.cmd" TargetMode="External" Id="rId8" /><Relationship Type="http://schemas.openxmlformats.org/officeDocument/2006/relationships/hyperlink" Target="run/Login_TC_009.cmd" TargetMode="External" Id="rId9" /><Relationship Type="http://schemas.openxmlformats.org/officeDocument/2006/relationships/hyperlink" Target="run/Login_TC_010.cmd" TargetMode="External" Id="rId10" /><Relationship Type="http://schemas.openxmlformats.org/officeDocument/2006/relationships/hyperlink" Target="run/Login_TC_011.cmd" TargetMode="External" Id="rId11" /><Relationship Type="http://schemas.openxmlformats.org/officeDocument/2006/relationships/hyperlink" Target="run/Login_TC_012.cmd" TargetMode="External" Id="rId12" /><Relationship Type="http://schemas.openxmlformats.org/officeDocument/2006/relationships/hyperlink" Target="run/Login_TC_013.cmd" TargetMode="External" Id="rId13" /><Relationship Type="http://schemas.openxmlformats.org/officeDocument/2006/relationships/hyperlink" Target="run/Login_TC_014.cmd" TargetMode="External" Id="rId14" /><Relationship Type="http://schemas.openxmlformats.org/officeDocument/2006/relationships/hyperlink" Target="run/Login_TC_015.cmd" TargetMode="External" Id="rId15" /><Relationship Type="http://schemas.openxmlformats.org/officeDocument/2006/relationships/hyperlink" Target="run/Login_TC_016.cmd" TargetMode="External" Id="rId16" /><Relationship Type="http://schemas.openxmlformats.org/officeDocument/2006/relationships/hyperlink" Target="run/Login_TC_017.cmd" TargetMode="External" Id="rId17" /><Relationship Type="http://schemas.openxmlformats.org/officeDocument/2006/relationships/hyperlink" Target="run/Login_TC_018.cmd" TargetMode="External" Id="rId18" /></Relationships>
</file>

<file path=xl/worksheets/_rels/sheet2.xml.rels><Relationships xmlns="http://schemas.openxmlformats.org/package/2006/relationships"><Relationship Type="http://schemas.openxmlformats.org/officeDocument/2006/relationships/hyperlink" Target="run/Register_TC_001.cmd" TargetMode="External" Id="rId1" /><Relationship Type="http://schemas.openxmlformats.org/officeDocument/2006/relationships/hyperlink" Target="run/Register_TC_002.cmd" TargetMode="External" Id="rId2" /><Relationship Type="http://schemas.openxmlformats.org/officeDocument/2006/relationships/hyperlink" Target="run/Register_TC_003.cmd" TargetMode="External" Id="rId3" /><Relationship Type="http://schemas.openxmlformats.org/officeDocument/2006/relationships/hyperlink" Target="run/Register_TC_004.cmd" TargetMode="External" Id="rId4" /><Relationship Type="http://schemas.openxmlformats.org/officeDocument/2006/relationships/hyperlink" Target="run/Register_TC_005.cmd" TargetMode="External" Id="rId5" /><Relationship Type="http://schemas.openxmlformats.org/officeDocument/2006/relationships/hyperlink" Target="run/Register_TC_006.cmd" TargetMode="External" Id="rId6" /><Relationship Type="http://schemas.openxmlformats.org/officeDocument/2006/relationships/hyperlink" Target="run/Register_TC_007.cmd" TargetMode="External" Id="rId7" /></Relationships>
</file>

<file path=xl/worksheets/_rels/sheet3.xml.rels><Relationships xmlns="http://schemas.openxmlformats.org/package/2006/relationships"><Relationship Type="http://schemas.openxmlformats.org/officeDocument/2006/relationships/hyperlink" Target="run/Reset_Password_TC_001.cmd" TargetMode="External" Id="rId1" /><Relationship Type="http://schemas.openxmlformats.org/officeDocument/2006/relationships/hyperlink" Target="run/Reset_Password_TC_002.cmd" TargetMode="External" Id="rId2" /><Relationship Type="http://schemas.openxmlformats.org/officeDocument/2006/relationships/hyperlink" Target="run/Reset_Password_TC_003.cmd" TargetMode="External" Id="rId3" /><Relationship Type="http://schemas.openxmlformats.org/officeDocument/2006/relationships/hyperlink" Target="run/Reset_Password_TC_004.cmd" TargetMode="External" Id="rId4" /><Relationship Type="http://schemas.openxmlformats.org/officeDocument/2006/relationships/hyperlink" Target="run/Reset_Password_TC_005.cmd" TargetMode="External" Id="rId5" /><Relationship Type="http://schemas.openxmlformats.org/officeDocument/2006/relationships/hyperlink" Target="run/Reset_Password_TC_006.cmd" TargetMode="External" Id="rId6" /><Relationship Type="http://schemas.openxmlformats.org/officeDocument/2006/relationships/hyperlink" Target="run/Reset_Password_TC_007.cmd" TargetMode="External" Id="rId7" /><Relationship Type="http://schemas.openxmlformats.org/officeDocument/2006/relationships/hyperlink" Target="run/Reset_Password_TC_008.cmd" TargetMode="External" Id="rId8" /><Relationship Type="http://schemas.openxmlformats.org/officeDocument/2006/relationships/hyperlink" Target="run/Reset_Password_TC_009.cmd" TargetMode="External" Id="rId9" /><Relationship Type="http://schemas.openxmlformats.org/officeDocument/2006/relationships/hyperlink" Target="run/Reset_Password_TC_010.cmd" TargetMode="External" Id="rId10" /><Relationship Type="http://schemas.openxmlformats.org/officeDocument/2006/relationships/hyperlink" Target="run/Reset_Password_TC_011.cmd" TargetMode="External" Id="rId11" /><Relationship Type="http://schemas.openxmlformats.org/officeDocument/2006/relationships/hyperlink" Target="run/Reset_Password_TC_012.cmd" TargetMode="External" Id="rId12" /><Relationship Type="http://schemas.openxmlformats.org/officeDocument/2006/relationships/hyperlink" Target="run/Reset_Password_TC_013.cmd" TargetMode="External" Id="rId13" /><Relationship Type="http://schemas.openxmlformats.org/officeDocument/2006/relationships/hyperlink" Target="run/Reset_Password_TC_014.cmd" TargetMode="External" Id="rId14" /><Relationship Type="http://schemas.openxmlformats.org/officeDocument/2006/relationships/hyperlink" Target="run/Reset_Password_TC_015.cmd" TargetMode="External" Id="rId15" /><Relationship Type="http://schemas.openxmlformats.org/officeDocument/2006/relationships/hyperlink" Target="run/Reset_Password_TC_016.cmd" TargetMode="External" Id="rId16" /></Relationships>
</file>

<file path=xl/worksheets/_rels/sheet4.xml.rels><Relationships xmlns="http://schemas.openxmlformats.org/package/2006/relationships"><Relationship Type="http://schemas.openxmlformats.org/officeDocument/2006/relationships/hyperlink" Target="run/Deposit_TC_001.cmd" TargetMode="External" Id="rId1" /><Relationship Type="http://schemas.openxmlformats.org/officeDocument/2006/relationships/hyperlink" Target="run/Deposit_TC_002.cmd" TargetMode="External" Id="rId2" /><Relationship Type="http://schemas.openxmlformats.org/officeDocument/2006/relationships/hyperlink" Target="run/Deposit_TC_003.cmd" TargetMode="External" Id="rId3" /><Relationship Type="http://schemas.openxmlformats.org/officeDocument/2006/relationships/hyperlink" Target="run/Deposit_TC_004.cmd" TargetMode="External" Id="rId4" /><Relationship Type="http://schemas.openxmlformats.org/officeDocument/2006/relationships/hyperlink" Target="run/Deposit_TC_005.cmd" TargetMode="External" Id="rId5" /><Relationship Type="http://schemas.openxmlformats.org/officeDocument/2006/relationships/hyperlink" Target="run/Deposit_TC_006.cmd" TargetMode="External" Id="rId6" /></Relationships>
</file>

<file path=xl/worksheets/_rels/sheet5.xml.rels><Relationships xmlns="http://schemas.openxmlformats.org/package/2006/relationships"><Relationship Type="http://schemas.openxmlformats.org/officeDocument/2006/relationships/hyperlink" Target="run/Withdraw_TC_001.cmd" TargetMode="External" Id="rId1" /><Relationship Type="http://schemas.openxmlformats.org/officeDocument/2006/relationships/hyperlink" Target="run/Withdraw_TC_002.cmd" TargetMode="External" Id="rId2" /><Relationship Type="http://schemas.openxmlformats.org/officeDocument/2006/relationships/hyperlink" Target="run/Withdraw_TC_003.cmd" TargetMode="External" Id="rId3" /><Relationship Type="http://schemas.openxmlformats.org/officeDocument/2006/relationships/hyperlink" Target="run/Withdraw_TC_004.cmd" TargetMode="External" Id="rId4" /><Relationship Type="http://schemas.openxmlformats.org/officeDocument/2006/relationships/hyperlink" Target="run/Withdraw_TC_005.cmd" TargetMode="External" Id="rId5" /><Relationship Type="http://schemas.openxmlformats.org/officeDocument/2006/relationships/hyperlink" Target="run/Withdraw_TC_006.cmd" TargetMode="External" Id="rId6" /><Relationship Type="http://schemas.openxmlformats.org/officeDocument/2006/relationships/hyperlink" Target="run/Withdraw_TC_007.cmd" TargetMode="External" Id="rId7" /><Relationship Type="http://schemas.openxmlformats.org/officeDocument/2006/relationships/hyperlink" Target="run/Withdraw_TC_008.cmd" TargetMode="External" Id="rId8" /></Relationships>
</file>

<file path=xl/worksheets/_rels/sheet6.xml.rels><Relationships xmlns="http://schemas.openxmlformats.org/package/2006/relationships"><Relationship Type="http://schemas.openxmlformats.org/officeDocument/2006/relationships/hyperlink" Target="run/Transfer_TC_001.cmd" TargetMode="External" Id="rId1" /><Relationship Type="http://schemas.openxmlformats.org/officeDocument/2006/relationships/hyperlink" Target="run/Transfer_TC_002.cmd" TargetMode="External" Id="rId2" /><Relationship Type="http://schemas.openxmlformats.org/officeDocument/2006/relationships/hyperlink" Target="run/Transfer_TC_003.cmd" TargetMode="External" Id="rId3" /><Relationship Type="http://schemas.openxmlformats.org/officeDocument/2006/relationships/hyperlink" Target="run/Transfer_TC_004.cmd" TargetMode="External" Id="rId4" /><Relationship Type="http://schemas.openxmlformats.org/officeDocument/2006/relationships/hyperlink" Target="run/Transfer_TC_005.cmd" TargetMode="External" Id="rId5" /><Relationship Type="http://schemas.openxmlformats.org/officeDocument/2006/relationships/hyperlink" Target="run/Transfer_TC_006.cmd" TargetMode="External" Id="rId6" /><Relationship Type="http://schemas.openxmlformats.org/officeDocument/2006/relationships/hyperlink" Target="run/Transfer_TC_007.cmd" TargetMode="External" Id="rId7" /><Relationship Type="http://schemas.openxmlformats.org/officeDocument/2006/relationships/hyperlink" Target="run/Transfer_TC_008.cmd" TargetMode="External" Id="rId8" /><Relationship Type="http://schemas.openxmlformats.org/officeDocument/2006/relationships/hyperlink" Target="run/Transfer_TC_009.cmd" TargetMode="External" Id="rId9" /><Relationship Type="http://schemas.openxmlformats.org/officeDocument/2006/relationships/hyperlink" Target="run/Transfer_TC_010.cmd" TargetMode="External" Id="rId10" /><Relationship Type="http://schemas.openxmlformats.org/officeDocument/2006/relationships/hyperlink" Target="run/Transfer_TC_011.cmd" TargetMode="External" Id="rId11" /><Relationship Type="http://schemas.openxmlformats.org/officeDocument/2006/relationships/hyperlink" Target="run/Transfer_TC_012.cmd" TargetMode="External" Id="rId12" /><Relationship Type="http://schemas.openxmlformats.org/officeDocument/2006/relationships/hyperlink" Target="run/Transfer_TC_013.cmd" TargetMode="External" Id="rId13" /></Relationships>
</file>

<file path=xl/worksheets/_rels/sheet7.xml.rels><Relationships xmlns="http://schemas.openxmlformats.org/package/2006/relationships"><Relationship Type="http://schemas.openxmlformats.org/officeDocument/2006/relationships/hyperlink" Target="run/Convert_TC_001.cmd" TargetMode="External" Id="rId1" /><Relationship Type="http://schemas.openxmlformats.org/officeDocument/2006/relationships/hyperlink" Target="run/Convert_TC_002.cmd" TargetMode="External" Id="rId2" /><Relationship Type="http://schemas.openxmlformats.org/officeDocument/2006/relationships/hyperlink" Target="run/Convert_TC_003.cmd" TargetMode="External" Id="rId3" /><Relationship Type="http://schemas.openxmlformats.org/officeDocument/2006/relationships/hyperlink" Target="run/Convert_TC_004.cmd" TargetMode="External" Id="rId4" /><Relationship Type="http://schemas.openxmlformats.org/officeDocument/2006/relationships/hyperlink" Target="run/Convert_TC_005.cmd" TargetMode="External" Id="rId5" /><Relationship Type="http://schemas.openxmlformats.org/officeDocument/2006/relationships/hyperlink" Target="run/Convert_TC_006.cmd" TargetMode="External" Id="rId6" /><Relationship Type="http://schemas.openxmlformats.org/officeDocument/2006/relationships/hyperlink" Target="run/Convert_TC_007.cmd" TargetMode="External" Id="rId7" /><Relationship Type="http://schemas.openxmlformats.org/officeDocument/2006/relationships/hyperlink" Target="run/Convert_TC_008.cmd" TargetMode="External" Id="rId8" /><Relationship Type="http://schemas.openxmlformats.org/officeDocument/2006/relationships/hyperlink" Target="run/Convert_TC_009.cmd" TargetMode="External" Id="rId9" /><Relationship Type="http://schemas.openxmlformats.org/officeDocument/2006/relationships/hyperlink" Target="run/Convert_TC_010.cmd" TargetMode="External" Id="rId10" /><Relationship Type="http://schemas.openxmlformats.org/officeDocument/2006/relationships/hyperlink" Target="run/Convert_TC_011.cmd" TargetMode="External" Id="rId11" /></Relationships>
</file>

<file path=xl/worksheets/_rels/sheet8.xml.rels><Relationships xmlns="http://schemas.openxmlformats.org/package/2006/relationships"><Relationship Type="http://schemas.openxmlformats.org/officeDocument/2006/relationships/hyperlink" Target="run/International_School_Fee_TC_001.cmd" TargetMode="External" Id="rId1" /><Relationship Type="http://schemas.openxmlformats.org/officeDocument/2006/relationships/hyperlink" Target="run/International_School_Fee_TC_002.cmd" TargetMode="External" Id="rId2" /><Relationship Type="http://schemas.openxmlformats.org/officeDocument/2006/relationships/hyperlink" Target="run/International_School_Fee_TC_003.cmd" TargetMode="External" Id="rId3" /><Relationship Type="http://schemas.openxmlformats.org/officeDocument/2006/relationships/hyperlink" Target="run/International_School_Fee_TC_004.cmd" TargetMode="External" Id="rId4" /><Relationship Type="http://schemas.openxmlformats.org/officeDocument/2006/relationships/hyperlink" Target="run/International_School_Fee_TC_005.cmd" TargetMode="External" Id="rId5" /><Relationship Type="http://schemas.openxmlformats.org/officeDocument/2006/relationships/hyperlink" Target="run/International_School_Fee_TC_006.cmd" TargetMode="External" Id="rId6" /><Relationship Type="http://schemas.openxmlformats.org/officeDocument/2006/relationships/hyperlink" Target="run/International_School_Fee_TC_007.cmd" TargetMode="External" Id="rId7" /><Relationship Type="http://schemas.openxmlformats.org/officeDocument/2006/relationships/hyperlink" Target="run/International_School_Fee_TC_008.cmd" TargetMode="External" Id="rId8" /><Relationship Type="http://schemas.openxmlformats.org/officeDocument/2006/relationships/hyperlink" Target="run/International_School_Fee_TC_009.cmd" TargetMode="External" Id="rId9" /><Relationship Type="http://schemas.openxmlformats.org/officeDocument/2006/relationships/hyperlink" Target="run/International_School_Fee_TC_010.cmd" TargetMode="External" Id="rId10" /><Relationship Type="http://schemas.openxmlformats.org/officeDocument/2006/relationships/hyperlink" Target="run/International_School_Fee_TC_011.cmd" TargetMode="External" Id="rId11" /><Relationship Type="http://schemas.openxmlformats.org/officeDocument/2006/relationships/hyperlink" Target="run/International_School_Fee_TC_012.cmd" TargetMode="External" Id="rId12" /></Relationships>
</file>

<file path=xl/worksheets/_rels/sheet9.xml.rels><Relationships xmlns="http://schemas.openxmlformats.org/package/2006/relationships"><Relationship Type="http://schemas.openxmlformats.org/officeDocument/2006/relationships/hyperlink" Target="run/Domestic_Transfer_TC_001.cmd" TargetMode="External" Id="rId1" /><Relationship Type="http://schemas.openxmlformats.org/officeDocument/2006/relationships/hyperlink" Target="run/Domestic_Transfer_TC_002.cmd" TargetMode="External" Id="rId2" /><Relationship Type="http://schemas.openxmlformats.org/officeDocument/2006/relationships/hyperlink" Target="run/Domestic_Transfer_TC_003.cmd" TargetMode="External" Id="rId3" /><Relationship Type="http://schemas.openxmlformats.org/officeDocument/2006/relationships/hyperlink" Target="run/Domestic_Transfer_TC_004.cmd" TargetMode="External" Id="rId4" /><Relationship Type="http://schemas.openxmlformats.org/officeDocument/2006/relationships/hyperlink" Target="run/Domestic_Transfer_TC_005.cmd" TargetMode="External" Id="rId5" /><Relationship Type="http://schemas.openxmlformats.org/officeDocument/2006/relationships/hyperlink" Target="run/Domestic_Transfer_TC_006.cmd" TargetMode="External" Id="rId6" /><Relationship Type="http://schemas.openxmlformats.org/officeDocument/2006/relationships/hyperlink" Target="run/Domestic_Transfer_TC_007.cmd" TargetMode="External" Id="rId7" /><Relationship Type="http://schemas.openxmlformats.org/officeDocument/2006/relationships/hyperlink" Target="run/Domestic_Transfer_TC_008.cmd" TargetMode="External" Id="rId8" /></Relationships>
</file>

<file path=xl/worksheets/_rels/sheet10.xml.rels><Relationships xmlns="http://schemas.openxmlformats.org/package/2006/relationships"><Relationship Type="http://schemas.openxmlformats.org/officeDocument/2006/relationships/hyperlink" Target="run/Global_Transfer_TC_001.cmd" TargetMode="External" Id="rId1" /><Relationship Type="http://schemas.openxmlformats.org/officeDocument/2006/relationships/hyperlink" Target="run/Global_Transfer_TC_002.cmd" TargetMode="External" Id="rId2" /><Relationship Type="http://schemas.openxmlformats.org/officeDocument/2006/relationships/hyperlink" Target="run/Global_Transfer_TC_003.cmd" TargetMode="External" Id="rId3" /><Relationship Type="http://schemas.openxmlformats.org/officeDocument/2006/relationships/hyperlink" Target="run/Global_Transfer_TC_004.cmd" TargetMode="External" Id="rId4" /><Relationship Type="http://schemas.openxmlformats.org/officeDocument/2006/relationships/hyperlink" Target="run/Global_Transfer_TC_005.cmd" TargetMode="External" Id="rId5" /><Relationship Type="http://schemas.openxmlformats.org/officeDocument/2006/relationships/hyperlink" Target="run/Global_Transfer_TC_006.cmd" TargetMode="External" Id="rId6" /><Relationship Type="http://schemas.openxmlformats.org/officeDocument/2006/relationships/hyperlink" Target="run/Global_Transfer_TC_007.cmd" TargetMode="External" Id="rId7" /><Relationship Type="http://schemas.openxmlformats.org/officeDocument/2006/relationships/hyperlink" Target="run/Global_Transfer_TC_008.cmd" TargetMode="External" Id="rId8" /><Relationship Type="http://schemas.openxmlformats.org/officeDocument/2006/relationships/hyperlink" Target="run/Global_Transfer_TC_009.cmd" TargetMode="External" Id="rId9" /><Relationship Type="http://schemas.openxmlformats.org/officeDocument/2006/relationships/hyperlink" Target="run/Global_Transfer_TC_010.cmd" TargetMode="External" Id="rId10" /></Relationships>
</file>

<file path=xl/worksheets/_rels/sheet11.xml.rels><Relationships xmlns="http://schemas.openxmlformats.org/package/2006/relationships"><Relationship Type="http://schemas.openxmlformats.org/officeDocument/2006/relationships/hyperlink" Target="run/Profile_TC_001.cmd" TargetMode="External" Id="rId1" /><Relationship Type="http://schemas.openxmlformats.org/officeDocument/2006/relationships/hyperlink" Target="run/Profile_TC_002.cmd" TargetMode="External" Id="rId2" /><Relationship Type="http://schemas.openxmlformats.org/officeDocument/2006/relationships/hyperlink" Target="run/Profile_TC_003.cmd" TargetMode="External" Id="rId3" /><Relationship Type="http://schemas.openxmlformats.org/officeDocument/2006/relationships/hyperlink" Target="run/Profile_TC_004.cmd" TargetMode="External" Id="rId4" /><Relationship Type="http://schemas.openxmlformats.org/officeDocument/2006/relationships/hyperlink" Target="run/Profile_TC_005.cmd" TargetMode="External" Id="rId5" /><Relationship Type="http://schemas.openxmlformats.org/officeDocument/2006/relationships/hyperlink" Target="run/Profile_TC_006.cmd" TargetMode="External" Id="rId6" /><Relationship Type="http://schemas.openxmlformats.org/officeDocument/2006/relationships/hyperlink" Target="run/Profile_TC_007.cmd" TargetMode="External" Id="rId7" /></Relationships>
</file>

<file path=xl/worksheets/_rels/sheet12.xml.rels><Relationships xmlns="http://schemas.openxmlformats.org/package/2006/relationships"><Relationship Type="http://schemas.openxmlformats.org/officeDocument/2006/relationships/hyperlink" Target="run/Bills_TC_001.cmd" TargetMode="External" Id="rId1" /><Relationship Type="http://schemas.openxmlformats.org/officeDocument/2006/relationships/hyperlink" Target="run/Bills_TC_002.cmd" TargetMode="External" Id="rId2" /><Relationship Type="http://schemas.openxmlformats.org/officeDocument/2006/relationships/hyperlink" Target="run/Bills_TC_003.cmd" TargetMode="External" Id="rId3" /><Relationship Type="http://schemas.openxmlformats.org/officeDocument/2006/relationships/hyperlink" Target="run/Bills_TC_004.cmd" TargetMode="External" Id="rId4" /><Relationship Type="http://schemas.openxmlformats.org/officeDocument/2006/relationships/hyperlink" Target="run/Bills_TC_005.cmd" TargetMode="External" Id="rId5" /><Relationship Type="http://schemas.openxmlformats.org/officeDocument/2006/relationships/hyperlink" Target="run/Bills_TC_006.cmd" TargetMode="External" Id="rId6" /><Relationship Type="http://schemas.openxmlformats.org/officeDocument/2006/relationships/hyperlink" Target="run/Bills_TC_007.cmd" TargetMode="External" Id="rId7" /><Relationship Type="http://schemas.openxmlformats.org/officeDocument/2006/relationships/hyperlink" Target="run/Bills_TC_008.cmd" TargetMode="External" Id="rId8" /><Relationship Type="http://schemas.openxmlformats.org/officeDocument/2006/relationships/hyperlink" Target="run/Bills_TC_009.cmd" TargetMode="External" Id="rId9" /><Relationship Type="http://schemas.openxmlformats.org/officeDocument/2006/relationships/hyperlink" Target="run/Bills_TC_010.cmd" TargetMode="External" Id="rId10" /></Relationships>
</file>

<file path=xl/worksheets/_rels/sheet13.xml.rels><Relationships xmlns="http://schemas.openxmlformats.org/package/2006/relationships"><Relationship Type="http://schemas.openxmlformats.org/officeDocument/2006/relationships/hyperlink" Target="run/Notification_TC_001.cmd" TargetMode="External" Id="rId1" /><Relationship Type="http://schemas.openxmlformats.org/officeDocument/2006/relationships/hyperlink" Target="run/Notification_TC_002.cmd" TargetMode="External" Id="rId2" /><Relationship Type="http://schemas.openxmlformats.org/officeDocument/2006/relationships/hyperlink" Target="run/Notification_TC_003.cmd" TargetMode="External" Id="rId3" /><Relationship Type="http://schemas.openxmlformats.org/officeDocument/2006/relationships/hyperlink" Target="run/Notification_TC_004.cmd" TargetMode="External" Id="rId4" /><Relationship Type="http://schemas.openxmlformats.org/officeDocument/2006/relationships/hyperlink" Target="run/Notification_TC_005.cmd" TargetMode="External" Id="rId5" /><Relationship Type="http://schemas.openxmlformats.org/officeDocument/2006/relationships/hyperlink" Target="run/Notification_TC_006.cmd" TargetMode="External" Id="rId6" /><Relationship Type="http://schemas.openxmlformats.org/officeDocument/2006/relationships/hyperlink" Target="run/Notification_TC_007.cmd" TargetMode="External" Id="rId7" /><Relationship Type="http://schemas.openxmlformats.org/officeDocument/2006/relationships/hyperlink" Target="run/Notification_TC_008.cmd" TargetMode="External" Id="rId8" /><Relationship Type="http://schemas.openxmlformats.org/officeDocument/2006/relationships/hyperlink" Target="run/Notification_TC_009.cmd" TargetMode="External" Id="rId9" /><Relationship Type="http://schemas.openxmlformats.org/officeDocument/2006/relationships/hyperlink" Target="run/Notification_TC_010.cmd" TargetMode="External" Id="rId10" /><Relationship Type="http://schemas.openxmlformats.org/officeDocument/2006/relationships/hyperlink" Target="run/Notification_TC_011.cmd" TargetMode="External" Id="rId11" /></Relationships>
</file>

<file path=xl/worksheets/_rels/sheet14.xml.rels><Relationships xmlns="http://schemas.openxmlformats.org/package/2006/relationships"><Relationship Type="http://schemas.openxmlformats.org/officeDocument/2006/relationships/hyperlink" Target="run/Trade_Record_TC_001.cmd" TargetMode="External" Id="rId1" /><Relationship Type="http://schemas.openxmlformats.org/officeDocument/2006/relationships/hyperlink" Target="run/Trade_Record_TC_002.cmd" TargetMode="External" Id="rId2" /><Relationship Type="http://schemas.openxmlformats.org/officeDocument/2006/relationships/hyperlink" Target="run/Trade_Record_TC_003.cmd" TargetMode="External" Id="rId3" /><Relationship Type="http://schemas.openxmlformats.org/officeDocument/2006/relationships/hyperlink" Target="run/Trade_Record_TC_004.cmd" TargetMode="External" Id="rId4" /><Relationship Type="http://schemas.openxmlformats.org/officeDocument/2006/relationships/hyperlink" Target="run/Trade_Record_TC_005.cmd" TargetMode="External" Id="rId5" /><Relationship Type="http://schemas.openxmlformats.org/officeDocument/2006/relationships/hyperlink" Target="run/Trade_Record_TC_006.cmd" TargetMode="External" Id="rId6" /><Relationship Type="http://schemas.openxmlformats.org/officeDocument/2006/relationships/hyperlink" Target="run/Trade_Record_TC_007.cmd" TargetMode="External" Id="rId7" /><Relationship Type="http://schemas.openxmlformats.org/officeDocument/2006/relationships/hyperlink" Target="run/Trade_Record_TC_008.cmd" TargetMode="External" Id="rId8" /><Relationship Type="http://schemas.openxmlformats.org/officeDocument/2006/relationships/hyperlink" Target="run/Trade_Record_TC_009.cmd" TargetMode="External" Id="rId9" /><Relationship Type="http://schemas.openxmlformats.org/officeDocument/2006/relationships/hyperlink" Target="run/Trade_Record_TC_010.cmd" TargetMode="External" Id="rId10" /><Relationship Type="http://schemas.openxmlformats.org/officeDocument/2006/relationships/hyperlink" Target="run/Trade_Record_TC_011.cmd" TargetMode="External" Id="rId11" /></Relationships>
</file>

<file path=xl/worksheets/_rels/sheet15.xml.rels><Relationships xmlns="http://schemas.openxmlformats.org/package/2006/relationships"><Relationship Type="http://schemas.openxmlformats.org/officeDocument/2006/relationships/hyperlink" Target="run/Wallet_TC_001.cmd" TargetMode="External" Id="rId1" /><Relationship Type="http://schemas.openxmlformats.org/officeDocument/2006/relationships/hyperlink" Target="run/Wallet_TC_002.cmd" TargetMode="External" Id="rId2" /><Relationship Type="http://schemas.openxmlformats.org/officeDocument/2006/relationships/hyperlink" Target="run/Wallet_TC_003.cmd" TargetMode="External" Id="rId3" /><Relationship Type="http://schemas.openxmlformats.org/officeDocument/2006/relationships/hyperlink" Target="run/Wallet_TC_004.cmd" TargetMode="External" Id="rId4" /><Relationship Type="http://schemas.openxmlformats.org/officeDocument/2006/relationships/hyperlink" Target="run/Wallet_TC_005.cmd" TargetMode="External" Id="rId5" /><Relationship Type="http://schemas.openxmlformats.org/officeDocument/2006/relationships/hyperlink" Target="run/Wallet_TC_006.cmd" TargetMode="External" Id="rId6" /><Relationship Type="http://schemas.openxmlformats.org/officeDocument/2006/relationships/hyperlink" Target="run/Wallet_TC_007.cmd" TargetMode="External" Id="rId7" /><Relationship Type="http://schemas.openxmlformats.org/officeDocument/2006/relationships/hyperlink" Target="run/Wallet_TC_008.cmd" TargetMode="External" Id="rId8" /><Relationship Type="http://schemas.openxmlformats.org/officeDocument/2006/relationships/hyperlink" Target="run/Wallet_TC_009.cmd" TargetMode="External" Id="rId9" /><Relationship Type="http://schemas.openxmlformats.org/officeDocument/2006/relationships/hyperlink" Target="run/Wallet_TC_010.cmd" TargetMode="External" Id="rId10" /><Relationship Type="http://schemas.openxmlformats.org/officeDocument/2006/relationships/hyperlink" Target="run/Wallet_TC_011.cmd" TargetMode="External" Id="rId11" /><Relationship Type="http://schemas.openxmlformats.org/officeDocument/2006/relationships/hyperlink" Target="run/Wallet_TC_012.cmd" TargetMode="External" Id="rId12" /><Relationship Type="http://schemas.openxmlformats.org/officeDocument/2006/relationships/hyperlink" Target="run/Wallet_TC_013.cmd" TargetMode="External" Id="rId13" /></Relationships>
</file>

<file path=xl/worksheets/_rels/sheet16.xml.rels><Relationships xmlns="http://schemas.openxmlformats.org/package/2006/relationships"><Relationship Type="http://schemas.openxmlformats.org/officeDocument/2006/relationships/hyperlink" Target="run/Payment_TC_001.cmd" TargetMode="External" Id="rId1" /><Relationship Type="http://schemas.openxmlformats.org/officeDocument/2006/relationships/hyperlink" Target="run/Payment_TC_002.cmd" TargetMode="External" Id="rId2" /><Relationship Type="http://schemas.openxmlformats.org/officeDocument/2006/relationships/hyperlink" Target="run/Payment_TC_003.cmd" TargetMode="External" Id="rId3" /><Relationship Type="http://schemas.openxmlformats.org/officeDocument/2006/relationships/hyperlink" Target="run/Payment_TC_004.cmd" TargetMode="External" Id="rId4" /><Relationship Type="http://schemas.openxmlformats.org/officeDocument/2006/relationships/hyperlink" Target="run/Payment_TC_005.cmd" TargetMode="External" Id="rId5" /><Relationship Type="http://schemas.openxmlformats.org/officeDocument/2006/relationships/hyperlink" Target="run/Payment_TC_006.cmd" TargetMode="External" Id="rId6" /><Relationship Type="http://schemas.openxmlformats.org/officeDocument/2006/relationships/hyperlink" Target="run/Payment_TC_007.cmd" TargetMode="External" Id="rId7" /><Relationship Type="http://schemas.openxmlformats.org/officeDocument/2006/relationships/hyperlink" Target="run/Payment_TC_008.cmd" TargetMode="External" Id="rId8" /><Relationship Type="http://schemas.openxmlformats.org/officeDocument/2006/relationships/hyperlink" Target="run/Payment_TC_009.cmd" TargetMode="External" Id="rId9" /><Relationship Type="http://schemas.openxmlformats.org/officeDocument/2006/relationships/hyperlink" Target="run/Payment_TC_010.cmd" TargetMode="External" Id="rId10" /><Relationship Type="http://schemas.openxmlformats.org/officeDocument/2006/relationships/hyperlink" Target="run/Payment_TC_011.cmd" TargetMode="External" Id="rId11" /><Relationship Type="http://schemas.openxmlformats.org/officeDocument/2006/relationships/hyperlink" Target="run/Payment_TC_012.cmd" TargetMode="External" Id="rId12" /><Relationship Type="http://schemas.openxmlformats.org/officeDocument/2006/relationships/hyperlink" Target="run/Payment_TC_013.cmd" TargetMode="External" Id="rId13" /><Relationship Type="http://schemas.openxmlformats.org/officeDocument/2006/relationships/hyperlink" Target="run/Payment_TC_014.cmd" TargetMode="External" Id="rId14" /><Relationship Type="http://schemas.openxmlformats.org/officeDocument/2006/relationships/hyperlink" Target="run/Payment_TC_015.cmd" TargetMode="External" Id="rId15" /><Relationship Type="http://schemas.openxmlformats.org/officeDocument/2006/relationships/hyperlink" Target="run/Payment_TC_016.cmd" TargetMode="External" Id="rId16" /><Relationship Type="http://schemas.openxmlformats.org/officeDocument/2006/relationships/hyperlink" Target="run/Payment_TC_017.cmd" TargetMode="External" Id="rId17" /></Relationships>
</file>

<file path=xl/worksheets/_rels/sheet17.xml.rels><Relationships xmlns="http://schemas.openxmlformats.org/package/2006/relationships"><Relationship Type="http://schemas.openxmlformats.org/officeDocument/2006/relationships/hyperlink" Target="run/Template_TC_001.cmd" TargetMode="External" Id="rId1" /><Relationship Type="http://schemas.openxmlformats.org/officeDocument/2006/relationships/hyperlink" Target="run/Template_TC_002.cmd" TargetMode="External" Id="rId2" /><Relationship Type="http://schemas.openxmlformats.org/officeDocument/2006/relationships/hyperlink" Target="run/Template_TC_003.cmd" TargetMode="External" Id="rId3" /><Relationship Type="http://schemas.openxmlformats.org/officeDocument/2006/relationships/hyperlink" Target="run/Template_TC_004.cmd" TargetMode="External" Id="rId4" /><Relationship Type="http://schemas.openxmlformats.org/officeDocument/2006/relationships/hyperlink" Target="run/Template_TC_005.cmd" TargetMode="External" Id="rId5" /><Relationship Type="http://schemas.openxmlformats.org/officeDocument/2006/relationships/hyperlink" Target="run/Template_TC_006.cmd" TargetMode="External" Id="rId6" /><Relationship Type="http://schemas.openxmlformats.org/officeDocument/2006/relationships/hyperlink" Target="run/Template_TC_007.cmd" TargetMode="External" Id="rId7" /><Relationship Type="http://schemas.openxmlformats.org/officeDocument/2006/relationships/hyperlink" Target="run/Template_TC_008.cmd" TargetMode="External" Id="rId8" /><Relationship Type="http://schemas.openxmlformats.org/officeDocument/2006/relationships/hyperlink" Target="run/Template_TC_009.cmd" TargetMode="External" Id="rId9" /><Relationship Type="http://schemas.openxmlformats.org/officeDocument/2006/relationships/hyperlink" Target="run/Template_TC_010.cmd" TargetMode="External" Id="rId10" /><Relationship Type="http://schemas.openxmlformats.org/officeDocument/2006/relationships/hyperlink" Target="run/Template_TC_011.cmd" TargetMode="External" Id="rId11" /><Relationship Type="http://schemas.openxmlformats.org/officeDocument/2006/relationships/hyperlink" Target="run/Template_TC_012.cmd" TargetMode="External" Id="rId12" /><Relationship Type="http://schemas.openxmlformats.org/officeDocument/2006/relationships/hyperlink" Target="run/Template_TC_013.cmd" TargetMode="External" Id="rId13" /><Relationship Type="http://schemas.openxmlformats.org/officeDocument/2006/relationships/hyperlink" Target="run/Template_TC_014.cmd" TargetMode="External" Id="rId14" /></Relationships>
</file>

<file path=xl/worksheets/_rels/sheet18.xml.rels><Relationships xmlns="http://schemas.openxmlformats.org/package/2006/relationships"><Relationship Type="http://schemas.openxmlformats.org/officeDocument/2006/relationships/hyperlink" Target="run/Transfer_Fee_Setting_TC_001.cmd" TargetMode="External" Id="rId1" /><Relationship Type="http://schemas.openxmlformats.org/officeDocument/2006/relationships/hyperlink" Target="run/Transfer_Fee_Setting_TC_002.cmd" TargetMode="External" Id="rId2" /><Relationship Type="http://schemas.openxmlformats.org/officeDocument/2006/relationships/hyperlink" Target="run/Transfer_Fee_Setting_TC_003.cmd" TargetMode="External" Id="rId3" /><Relationship Type="http://schemas.openxmlformats.org/officeDocument/2006/relationships/hyperlink" Target="run/Transfer_Fee_Setting_TC_004.cmd" TargetMode="External" Id="rId4" /><Relationship Type="http://schemas.openxmlformats.org/officeDocument/2006/relationships/hyperlink" Target="run/Transfer_Fee_Setting_TC_005.cmd" TargetMode="External" Id="rId5" /><Relationship Type="http://schemas.openxmlformats.org/officeDocument/2006/relationships/hyperlink" Target="run/Transfer_Fee_Setting_TC_006.cmd" TargetMode="External" Id="rId6" /><Relationship Type="http://schemas.openxmlformats.org/officeDocument/2006/relationships/hyperlink" Target="run/Transfer_Fee_Setting_TC_007.cmd" TargetMode="External" Id="rId7" /><Relationship Type="http://schemas.openxmlformats.org/officeDocument/2006/relationships/hyperlink" Target="run/Transfer_Fee_Setting_TC_008.cmd" TargetMode="External" Id="rId8" /><Relationship Type="http://schemas.openxmlformats.org/officeDocument/2006/relationships/hyperlink" Target="run/Transfer_Fee_Setting_TC_009.cmd" TargetMode="External" Id="rId9" /><Relationship Type="http://schemas.openxmlformats.org/officeDocument/2006/relationships/hyperlink" Target="run/Transfer_Fee_Setting_TC_010.cmd" TargetMode="External" Id="rId10" /></Relationships>
</file>

<file path=xl/worksheets/_rels/sheet19.xml.rels><Relationships xmlns="http://schemas.openxmlformats.org/package/2006/relationships"><Relationship Type="http://schemas.openxmlformats.org/officeDocument/2006/relationships/hyperlink" Target="run/Security_TC_001.cmd" TargetMode="External" Id="rId1" /><Relationship Type="http://schemas.openxmlformats.org/officeDocument/2006/relationships/hyperlink" Target="run/Security_TC_002.cmd" TargetMode="External" Id="rId2" /><Relationship Type="http://schemas.openxmlformats.org/officeDocument/2006/relationships/hyperlink" Target="run/Security_TC_003.cmd" TargetMode="External" Id="rId3" /><Relationship Type="http://schemas.openxmlformats.org/officeDocument/2006/relationships/hyperlink" Target="run/Security_TC_004.cmd" TargetMode="External" Id="rId4" /><Relationship Type="http://schemas.openxmlformats.org/officeDocument/2006/relationships/hyperlink" Target="run/Security_TC_005.cmd" TargetMode="External" Id="rId5" /><Relationship Type="http://schemas.openxmlformats.org/officeDocument/2006/relationships/hyperlink" Target="run/Security_TC_006.cmd" TargetMode="External" Id="rId6" /><Relationship Type="http://schemas.openxmlformats.org/officeDocument/2006/relationships/hyperlink" Target="run/Security_TC_007.cmd" TargetMode="External" Id="rId7" /><Relationship Type="http://schemas.openxmlformats.org/officeDocument/2006/relationships/hyperlink" Target="run/Security_TC_008.cmd" TargetMode="External" Id="rId8" /><Relationship Type="http://schemas.openxmlformats.org/officeDocument/2006/relationships/hyperlink" Target="run/Security_TC_009.cmd" TargetMode="External" Id="rId9" /><Relationship Type="http://schemas.openxmlformats.org/officeDocument/2006/relationships/hyperlink" Target="run/Security_TC_010.cmd" TargetMode="External" Id="rId10" /><Relationship Type="http://schemas.openxmlformats.org/officeDocument/2006/relationships/hyperlink" Target="run/Security_TC_011.cmd" TargetMode="External" Id="rId11" /><Relationship Type="http://schemas.openxmlformats.org/officeDocument/2006/relationships/hyperlink" Target="run/Security_TC_012.cmd" TargetMode="External" Id="rId12" /><Relationship Type="http://schemas.openxmlformats.org/officeDocument/2006/relationships/hyperlink" Target="run/Security_TC_013.cmd" TargetMode="External" Id="rId13" /></Relationships>
</file>

<file path=xl/worksheets/_rels/sheet20.xml.rels><Relationships xmlns="http://schemas.openxmlformats.org/package/2006/relationships"><Relationship Type="http://schemas.openxmlformats.org/officeDocument/2006/relationships/hyperlink" Target="run/Languages_TC_001.cmd" TargetMode="External" Id="rId1" /><Relationship Type="http://schemas.openxmlformats.org/officeDocument/2006/relationships/hyperlink" Target="run/Languages_TC_002.cmd" TargetMode="External" Id="rId2" /><Relationship Type="http://schemas.openxmlformats.org/officeDocument/2006/relationships/hyperlink" Target="run/Languages_TC_003.cmd" TargetMode="External" Id="rId3" /><Relationship Type="http://schemas.openxmlformats.org/officeDocument/2006/relationships/hyperlink" Target="run/Languages_TC_004.cmd" TargetMode="External" Id="rId4" /><Relationship Type="http://schemas.openxmlformats.org/officeDocument/2006/relationships/hyperlink" Target="run/Languages_TC_005.cmd" TargetMode="External" Id="rId5" /><Relationship Type="http://schemas.openxmlformats.org/officeDocument/2006/relationships/hyperlink" Target="run/Languages_TC_006.cmd" TargetMode="External" Id="rId6" /><Relationship Type="http://schemas.openxmlformats.org/officeDocument/2006/relationships/hyperlink" Target="run/Languages_TC_007.cmd" TargetMode="External" Id="rId7" /><Relationship Type="http://schemas.openxmlformats.org/officeDocument/2006/relationships/hyperlink" Target="run/Languages_TC_008.cmd" TargetMode="External" Id="rId8" /><Relationship Type="http://schemas.openxmlformats.org/officeDocument/2006/relationships/hyperlink" Target="run/Languages_TC_009.cmd" TargetMode="External" Id="rId9" /><Relationship Type="http://schemas.openxmlformats.org/officeDocument/2006/relationships/hyperlink" Target="run/Languages_TC_010.cmd" TargetMode="External" Id="rId10" /></Relationships>
</file>

<file path=xl/worksheets/_rels/sheet21.xml.rels><Relationships xmlns="http://schemas.openxmlformats.org/package/2006/relationships"><Relationship Type="http://schemas.openxmlformats.org/officeDocument/2006/relationships/hyperlink" Target="run/Settings_TC_001.cmd" TargetMode="External" Id="rId1" /><Relationship Type="http://schemas.openxmlformats.org/officeDocument/2006/relationships/hyperlink" Target="run/Settings_TC_002.cmd" TargetMode="External" Id="rId2" /><Relationship Type="http://schemas.openxmlformats.org/officeDocument/2006/relationships/hyperlink" Target="run/Settings_TC_003.cmd" TargetMode="External" Id="rId3" /><Relationship Type="http://schemas.openxmlformats.org/officeDocument/2006/relationships/hyperlink" Target="run/Settings_TC_004.cmd" TargetMode="External" Id="rId4" /><Relationship Type="http://schemas.openxmlformats.org/officeDocument/2006/relationships/hyperlink" Target="run/Settings_TC_005.cmd" TargetMode="External" Id="rId5" /><Relationship Type="http://schemas.openxmlformats.org/officeDocument/2006/relationships/hyperlink" Target="run/Settings_TC_006.cmd" TargetMode="External" Id="rId6" /><Relationship Type="http://schemas.openxmlformats.org/officeDocument/2006/relationships/hyperlink" Target="run/Settings_TC_007.cmd" TargetMode="External" Id="rId7" /><Relationship Type="http://schemas.openxmlformats.org/officeDocument/2006/relationships/hyperlink" Target="run/Settings_TC_008.cmd" TargetMode="External" Id="rId8" /><Relationship Type="http://schemas.openxmlformats.org/officeDocument/2006/relationships/hyperlink" Target="run/Settings_TC_009.cmd" TargetMode="External" Id="rId9" /><Relationship Type="http://schemas.openxmlformats.org/officeDocument/2006/relationships/hyperlink" Target="run/Settings_TC_010.cmd" TargetMode="External" Id="rId10" /><Relationship Type="http://schemas.openxmlformats.org/officeDocument/2006/relationships/hyperlink" Target="run/Settings_TC_011.cmd" TargetMode="External" Id="rId11" /><Relationship Type="http://schemas.openxmlformats.org/officeDocument/2006/relationships/hyperlink" Target="run/Settings_TC_012.cmd" TargetMode="External" Id="rId12" /><Relationship Type="http://schemas.openxmlformats.org/officeDocument/2006/relationships/hyperlink" Target="run/Settings_TC_013.cmd" TargetMode="External" Id="rId13" /></Relationships>
</file>

<file path=xl/worksheets/_rels/sheet22.xml.rels><Relationships xmlns="http://schemas.openxmlformats.org/package/2006/relationships"><Relationship Type="http://schemas.openxmlformats.org/officeDocument/2006/relationships/hyperlink" Target="run/Document_Verification_TC_001.cmd" TargetMode="External" Id="rId1" /><Relationship Type="http://schemas.openxmlformats.org/officeDocument/2006/relationships/hyperlink" Target="run/Document_Verification_TC_002.cmd" TargetMode="External" Id="rId2" /><Relationship Type="http://schemas.openxmlformats.org/officeDocument/2006/relationships/hyperlink" Target="run/Document_Verification_TC_003.cmd" TargetMode="External" Id="rId3" /><Relationship Type="http://schemas.openxmlformats.org/officeDocument/2006/relationships/hyperlink" Target="run/Document_Verification_TC_004.cmd" TargetMode="External" Id="rId4" /><Relationship Type="http://schemas.openxmlformats.org/officeDocument/2006/relationships/hyperlink" Target="run/Document_Verification_TC_005.cmd" TargetMode="External" Id="rId5" /><Relationship Type="http://schemas.openxmlformats.org/officeDocument/2006/relationships/hyperlink" Target="run/Document_Verification_TC_006.cmd" TargetMode="External" Id="rId6" /><Relationship Type="http://schemas.openxmlformats.org/officeDocument/2006/relationships/hyperlink" Target="run/Document_Verification_TC_007.cmd" TargetMode="External" Id="rId7" /><Relationship Type="http://schemas.openxmlformats.org/officeDocument/2006/relationships/hyperlink" Target="run/Document_Verification_TC_008.cmd" TargetMode="External" Id="rId8" /><Relationship Type="http://schemas.openxmlformats.org/officeDocument/2006/relationships/hyperlink" Target="run/Document_Verification_TC_009.cmd" TargetMode="External" Id="rId9" /><Relationship Type="http://schemas.openxmlformats.org/officeDocument/2006/relationships/hyperlink" Target="run/Document_Verification_TC_010.cmd" TargetMode="External" Id="rId10" /><Relationship Type="http://schemas.openxmlformats.org/officeDocument/2006/relationships/hyperlink" Target="run/Document_Verification_TC_011.cmd" TargetMode="External" Id="rId11" /></Relationships>
</file>

<file path=xl/worksheets/_rels/sheet23.xml.rels><Relationships xmlns="http://schemas.openxmlformats.org/package/2006/relationships"><Relationship Type="http://schemas.openxmlformats.org/officeDocument/2006/relationships/hyperlink" Target="run/QR_Code_TC_001.cmd" TargetMode="External" Id="rId1" /><Relationship Type="http://schemas.openxmlformats.org/officeDocument/2006/relationships/hyperlink" Target="run/QR_Code_TC_002.cmd" TargetMode="External" Id="rId2" /><Relationship Type="http://schemas.openxmlformats.org/officeDocument/2006/relationships/hyperlink" Target="run/QR_Code_TC_003.cmd" TargetMode="External" Id="rId3" /><Relationship Type="http://schemas.openxmlformats.org/officeDocument/2006/relationships/hyperlink" Target="run/QR_Code_TC_004.cmd" TargetMode="External" Id="rId4" /><Relationship Type="http://schemas.openxmlformats.org/officeDocument/2006/relationships/hyperlink" Target="run/QR_Code_TC_005.cmd" TargetMode="External" Id="rId5" /><Relationship Type="http://schemas.openxmlformats.org/officeDocument/2006/relationships/hyperlink" Target="run/QR_Code_TC_006.cmd" TargetMode="External" Id="rId6" /><Relationship Type="http://schemas.openxmlformats.org/officeDocument/2006/relationships/hyperlink" Target="run/QR_Code_TC_007.cmd" TargetMode="External" Id="rId7" /><Relationship Type="http://schemas.openxmlformats.org/officeDocument/2006/relationships/hyperlink" Target="run/QR_Code_TC_008.cmd" TargetMode="External" Id="rId8" /><Relationship Type="http://schemas.openxmlformats.org/officeDocument/2006/relationships/hyperlink" Target="run/QR_Code_TC_009.cmd" TargetMode="External" Id="rId9" /><Relationship Type="http://schemas.openxmlformats.org/officeDocument/2006/relationships/hyperlink" Target="run/QR_Code_TC_010.cmd" TargetMode="External" Id="rId10" /></Relationships>
</file>

<file path=xl/worksheets/_rels/sheet24.xml.rels><Relationships xmlns="http://schemas.openxmlformats.org/package/2006/relationships"><Relationship Type="http://schemas.openxmlformats.org/officeDocument/2006/relationships/hyperlink" Target="run/Commission_Listing_TC_001.cmd" TargetMode="External" Id="rId1" /><Relationship Type="http://schemas.openxmlformats.org/officeDocument/2006/relationships/hyperlink" Target="run/Commission_Listing_TC_002.cmd" TargetMode="External" Id="rId2" /><Relationship Type="http://schemas.openxmlformats.org/officeDocument/2006/relationships/hyperlink" Target="run/Commission_Listing_TC_003.cmd" TargetMode="External" Id="rId3" /><Relationship Type="http://schemas.openxmlformats.org/officeDocument/2006/relationships/hyperlink" Target="run/Commission_Listing_TC_004.cmd" TargetMode="External" Id="rId4" /><Relationship Type="http://schemas.openxmlformats.org/officeDocument/2006/relationships/hyperlink" Target="run/Commission_Listing_TC_005.cmd" TargetMode="External" Id="rId5" /><Relationship Type="http://schemas.openxmlformats.org/officeDocument/2006/relationships/hyperlink" Target="run/Commission_Listing_TC_006.cmd" TargetMode="External" Id="rId6" /><Relationship Type="http://schemas.openxmlformats.org/officeDocument/2006/relationships/hyperlink" Target="run/Commission_Listing_TC_007.cmd" TargetMode="External" Id="rId7" /><Relationship Type="http://schemas.openxmlformats.org/officeDocument/2006/relationships/hyperlink" Target="run/Commission_Listing_TC_008.cmd" TargetMode="External" Id="rId8" /><Relationship Type="http://schemas.openxmlformats.org/officeDocument/2006/relationships/hyperlink" Target="run/Commission_Listing_TC_009.cmd" TargetMode="External" Id="rId9" /><Relationship Type="http://schemas.openxmlformats.org/officeDocument/2006/relationships/hyperlink" Target="run/Commission_Listing_TC_010.cmd" TargetMode="External" Id="rId10" /><Relationship Type="http://schemas.openxmlformats.org/officeDocument/2006/relationships/hyperlink" Target="run/Commission_Listing_TC_011.cmd" TargetMode="External" Id="rId11" /><Relationship Type="http://schemas.openxmlformats.org/officeDocument/2006/relationships/hyperlink" Target="run/Commission_Listing_TC_012.cmd" TargetMode="External" Id="rId12" /></Relationships>
</file>

<file path=xl/worksheets/_rels/sheet25.xml.rels><Relationships xmlns="http://schemas.openxmlformats.org/package/2006/relationships"><Relationship Type="http://schemas.openxmlformats.org/officeDocument/2006/relationships/hyperlink" Target="run/Fee_Listing_TC_001.cmd" TargetMode="External" Id="rId1" /><Relationship Type="http://schemas.openxmlformats.org/officeDocument/2006/relationships/hyperlink" Target="run/Fee_Listing_TC_002.cmd" TargetMode="External" Id="rId2" /><Relationship Type="http://schemas.openxmlformats.org/officeDocument/2006/relationships/hyperlink" Target="run/Fee_Listing_TC_003.cmd" TargetMode="External" Id="rId3" /><Relationship Type="http://schemas.openxmlformats.org/officeDocument/2006/relationships/hyperlink" Target="run/Fee_Listing_TC_004.cmd" TargetMode="External" Id="rId4" /><Relationship Type="http://schemas.openxmlformats.org/officeDocument/2006/relationships/hyperlink" Target="run/Fee_Listing_TC_005.cmd" TargetMode="External" Id="rId5" /><Relationship Type="http://schemas.openxmlformats.org/officeDocument/2006/relationships/hyperlink" Target="run/Fee_Listing_TC_006.cmd" TargetMode="External" Id="rId6" /></Relationships>
</file>

<file path=xl/worksheets/_rels/sheet26.xml.rels><Relationships xmlns="http://schemas.openxmlformats.org/package/2006/relationships"><Relationship Type="http://schemas.openxmlformats.org/officeDocument/2006/relationships/hyperlink" Target="run/User_List_TC_001.cmd" TargetMode="External" Id="rId1" /><Relationship Type="http://schemas.openxmlformats.org/officeDocument/2006/relationships/hyperlink" Target="run/User_List_TC_002.cmd" TargetMode="External" Id="rId2" /><Relationship Type="http://schemas.openxmlformats.org/officeDocument/2006/relationships/hyperlink" Target="run/User_List_TC_003.cmd" TargetMode="External" Id="rId3" /><Relationship Type="http://schemas.openxmlformats.org/officeDocument/2006/relationships/hyperlink" Target="run/User_List_TC_004.cmd" TargetMode="External" Id="rId4" /><Relationship Type="http://schemas.openxmlformats.org/officeDocument/2006/relationships/hyperlink" Target="run/User_List_TC_005.cmd" TargetMode="External" Id="rId5" /><Relationship Type="http://schemas.openxmlformats.org/officeDocument/2006/relationships/hyperlink" Target="run/User_List_TC_006.cmd" TargetMode="External" Id="rId6" /></Relationships>
</file>

<file path=xl/worksheets/_rels/sheet27.xml.rels><Relationships xmlns="http://schemas.openxmlformats.org/package/2006/relationships"><Relationship Type="http://schemas.openxmlformats.org/officeDocument/2006/relationships/hyperlink" Target="run/Home_TC_001.cmd" TargetMode="External" Id="rId1" /><Relationship Type="http://schemas.openxmlformats.org/officeDocument/2006/relationships/hyperlink" Target="run/Home_TC_002.cmd" TargetMode="External" Id="rId2" /><Relationship Type="http://schemas.openxmlformats.org/officeDocument/2006/relationships/hyperlink" Target="run/Home_TC_003.cmd" TargetMode="External" Id="rId3" /><Relationship Type="http://schemas.openxmlformats.org/officeDocument/2006/relationships/hyperlink" Target="run/Home_TC_004.cmd" TargetMode="External" Id="rId4" /><Relationship Type="http://schemas.openxmlformats.org/officeDocument/2006/relationships/hyperlink" Target="run/Home_TC_005.cmd" TargetMode="External" Id="rId5" /><Relationship Type="http://schemas.openxmlformats.org/officeDocument/2006/relationships/hyperlink" Target="run/Home_TC_006.cmd" TargetMode="External" Id="rId6" /><Relationship Type="http://schemas.openxmlformats.org/officeDocument/2006/relationships/hyperlink" Target="run/Home_TC_007.cmd" TargetMode="External" Id="rId7" /><Relationship Type="http://schemas.openxmlformats.org/officeDocument/2006/relationships/hyperlink" Target="run/Home_TC_008.cmd" TargetMode="External" Id="rId8" /></Relationships>
</file>

<file path=xl/worksheets/sheet1.xml><?xml version="1.0" encoding="utf-8"?>
<worksheet xmlns="http://schemas.openxmlformats.org/spreadsheetml/2006/main">
  <sheetPr filterMode="0">
    <outlinePr summaryBelow="1" summaryRight="1"/>
    <pageSetUpPr fitToPage="0"/>
  </sheetPr>
  <dimension ref="A1:T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RowHeight="15.75" zeroHeight="0" outlineLevelRow="0"/>
  <cols>
    <col width="12.63" customWidth="1" style="50" min="1" max="1"/>
    <col width="13.75" customWidth="1" style="50" min="2" max="2"/>
    <col width="33.87" customWidth="1" style="50" min="3" max="3"/>
    <col width="12.63" customWidth="1" style="50" min="4" max="4"/>
    <col width="15.38" customWidth="1" style="50" min="5" max="5"/>
    <col width="24.87" customWidth="1" style="50" min="6" max="6"/>
    <col width="15" customWidth="1" style="50" min="7" max="7"/>
    <col width="12.63" customWidth="1" style="50" min="8"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Login</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46170</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46136</v>
      </c>
      <c r="D6" s="54" t="n"/>
      <c r="H6" s="55" t="n"/>
    </row>
    <row r="7" ht="15.7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68" t="inlineStr">
        <is>
          <t>Login Using Email</t>
        </is>
      </c>
      <c r="C9" s="69" t="inlineStr">
        <is>
          <t>Successful Login and Logout using email</t>
        </is>
      </c>
      <c r="D9" s="70" t="inlineStr">
        <is>
          <t>Positive</t>
        </is>
      </c>
      <c r="E9" s="71" t="inlineStr">
        <is>
          <t>User is on Login page.</t>
        </is>
      </c>
      <c r="F9" s="72" t="inlineStr">
        <is>
          <t>-Given I log into the UMPay application with valid email credentials using "&lt;row&gt;" of "&lt;excelSheetName&gt;" of "&lt;excelFileName&gt;"
-When I check and validate all the homepage contents
-Then I should be able to successfully log out</t>
        </is>
      </c>
      <c r="G9" s="67" t="inlineStr">
        <is>
          <t>Valid UMPay email credentials</t>
        </is>
      </c>
      <c r="H9" s="73" t="inlineStr">
        <is>
          <t>User should be able to login and logout</t>
        </is>
      </c>
      <c r="I9" s="73" t="inlineStr">
        <is>
          <t>User is on login page</t>
        </is>
      </c>
      <c r="J9" s="73" t="inlineStr">
        <is>
          <t>User can login and logout</t>
        </is>
      </c>
      <c r="K9" s="74" t="inlineStr">
        <is>
          <t>PASS</t>
        </is>
      </c>
      <c r="L9" s="74" t="inlineStr">
        <is>
          <t>HIGH</t>
        </is>
      </c>
      <c r="M9" s="58" t="n"/>
      <c r="N9" s="75" t="n">
        <v>46104</v>
      </c>
      <c r="O9" s="53" t="inlineStr">
        <is>
          <t>Window OS</t>
        </is>
      </c>
      <c r="P9" s="76" t="inlineStr">
        <is>
          <t>Edge</t>
        </is>
      </c>
      <c r="Q9" s="70" t="n"/>
      <c r="R9" s="70" t="n"/>
      <c r="S9" s="77" t="inlineStr">
        <is>
          <t>Run</t>
        </is>
      </c>
    </row>
    <row r="10" ht="15.75" customHeight="1" s="51">
      <c r="A10" s="67" t="inlineStr">
        <is>
          <t>TC_002</t>
        </is>
      </c>
      <c r="B10" s="68" t="inlineStr">
        <is>
          <t>Login Using Phone</t>
        </is>
      </c>
      <c r="C10" s="69" t="inlineStr">
        <is>
          <t>Successful Login and Logout using phone</t>
        </is>
      </c>
      <c r="D10" s="70" t="inlineStr">
        <is>
          <t>Positive</t>
        </is>
      </c>
      <c r="E10" s="71" t="inlineStr">
        <is>
          <t>User is on Login page.</t>
        </is>
      </c>
      <c r="F10" s="72" t="inlineStr">
        <is>
          <t>-I sign in with the phone number in "&lt;row&gt;" of "&lt;excelSheetName&gt;" of "&lt;excelFileName&gt;"
-When I check and validate all the homepage contents
-Then I should be able to successfully log out</t>
        </is>
      </c>
      <c r="G10" s="67" t="inlineStr">
        <is>
          <t>Valid UMPay phone credentials</t>
        </is>
      </c>
      <c r="H10" s="73" t="inlineStr">
        <is>
          <t>User should be able to login and logout</t>
        </is>
      </c>
      <c r="I10" s="73" t="inlineStr">
        <is>
          <t>User is on login page</t>
        </is>
      </c>
      <c r="J10" s="73" t="inlineStr">
        <is>
          <t>User can login and logout</t>
        </is>
      </c>
      <c r="K10" s="74" t="inlineStr">
        <is>
          <t>PASS</t>
        </is>
      </c>
      <c r="L10" s="74" t="inlineStr">
        <is>
          <t>HIGH</t>
        </is>
      </c>
      <c r="M10" s="58" t="n"/>
      <c r="N10" s="75" t="n">
        <v>46104</v>
      </c>
      <c r="O10" s="53" t="inlineStr">
        <is>
          <t>Window OS</t>
        </is>
      </c>
      <c r="P10" s="76" t="inlineStr">
        <is>
          <t>Edge</t>
        </is>
      </c>
      <c r="Q10" s="70" t="n"/>
      <c r="R10" s="70" t="n"/>
      <c r="S10" s="77" t="inlineStr">
        <is>
          <t>Run</t>
        </is>
      </c>
    </row>
    <row r="11" ht="15.75" customHeight="1" s="51">
      <c r="A11" s="67" t="inlineStr">
        <is>
          <t>TC_003</t>
        </is>
      </c>
      <c r="B11" s="68" t="inlineStr">
        <is>
          <t>Login Using Email</t>
        </is>
      </c>
      <c r="C11" s="69" t="inlineStr">
        <is>
          <t>An email address that is not a valid address is rejected before anything is sent</t>
        </is>
      </c>
      <c r="D11" s="70" t="inlineStr">
        <is>
          <t>Negative</t>
        </is>
      </c>
      <c r="E11" s="71" t="inlineStr">
        <is>
          <t>User is on Login page.</t>
        </is>
      </c>
      <c r="F11" s="72" t="inlineStr">
        <is>
          <t>-I am on the UMPay login page
-When I try to sign in with the email address in "&lt;row&gt;" of "&lt;excelSheetName&gt;" of "&lt;excelFileName&gt;"
-Then the browser should reject the login "email" field with the message in "&lt;row&gt;" of "&lt;excelSheetName&gt;" of "&lt;excelFileName&gt;"
-And I should still be on the login page</t>
        </is>
      </c>
      <c r="G11" s="67" t="inlineStr">
        <is>
          <t>Invalid email address</t>
        </is>
      </c>
      <c r="H11" s="73" t="inlineStr">
        <is>
          <t>User should not be able to login</t>
        </is>
      </c>
      <c r="I11" s="73" t="inlineStr">
        <is>
          <t>User is on login page</t>
        </is>
      </c>
      <c r="J11" s="73" t="inlineStr">
        <is>
          <t>User can not login</t>
        </is>
      </c>
      <c r="K11" s="74" t="inlineStr">
        <is>
          <t>PASS</t>
        </is>
      </c>
      <c r="L11" s="74" t="inlineStr">
        <is>
          <t>HIGH</t>
        </is>
      </c>
      <c r="M11" s="58" t="n"/>
      <c r="N11" s="75" t="n">
        <v>46104</v>
      </c>
      <c r="O11" s="53" t="inlineStr">
        <is>
          <t>Window OS</t>
        </is>
      </c>
      <c r="P11" s="76" t="inlineStr">
        <is>
          <t>Edge</t>
        </is>
      </c>
      <c r="Q11" s="70" t="n"/>
      <c r="R11" s="70" t="n"/>
      <c r="S11" s="77" t="inlineStr">
        <is>
          <t>Run</t>
        </is>
      </c>
    </row>
    <row r="12" ht="15.75" customHeight="1" s="51">
      <c r="A12" s="67" t="inlineStr">
        <is>
          <t>TC_004</t>
        </is>
      </c>
      <c r="B12" s="68" t="inlineStr">
        <is>
          <t>Login Using Email</t>
        </is>
      </c>
      <c r="C12" s="69" t="inlineStr">
        <is>
          <t>An empty email address cannot be submitted</t>
        </is>
      </c>
      <c r="D12" s="70" t="inlineStr">
        <is>
          <t>Negative</t>
        </is>
      </c>
      <c r="E12" s="71" t="inlineStr">
        <is>
          <t>User is on Login page.</t>
        </is>
      </c>
      <c r="F12" s="72" t="inlineStr">
        <is>
          <t>-I am on the UMPay login page
-When I try to sign in with the email address in "&lt;row&gt;" of "&lt;excelSheetName&gt;" of "&lt;excelFileName&gt;"
-Then the browser should reject the login "email" field with the message in "&lt;row&gt;" of "&lt;excelSheetName&gt;" of "&lt;excelFileName&gt;"
-And I should still be on the login page</t>
        </is>
      </c>
      <c r="G12" s="67" t="inlineStr">
        <is>
          <t>Invalid email address</t>
        </is>
      </c>
      <c r="H12" s="73" t="inlineStr">
        <is>
          <t>User should not be able to login</t>
        </is>
      </c>
      <c r="I12" s="73" t="inlineStr">
        <is>
          <t>User is on login page</t>
        </is>
      </c>
      <c r="J12" s="73" t="inlineStr">
        <is>
          <t>User can not login</t>
        </is>
      </c>
      <c r="K12" s="74" t="inlineStr">
        <is>
          <t>PASS</t>
        </is>
      </c>
      <c r="L12" s="74" t="inlineStr">
        <is>
          <t>HIGH</t>
        </is>
      </c>
      <c r="M12" s="58" t="n"/>
      <c r="N12" s="75" t="n">
        <v>46104</v>
      </c>
      <c r="O12" s="53" t="inlineStr">
        <is>
          <t>Window OS</t>
        </is>
      </c>
      <c r="P12" s="76" t="inlineStr">
        <is>
          <t>Edge</t>
        </is>
      </c>
      <c r="Q12" s="70" t="n"/>
      <c r="R12" s="70" t="n"/>
      <c r="S12" s="77" t="inlineStr">
        <is>
          <t>Run</t>
        </is>
      </c>
    </row>
    <row r="13" ht="15.75" customHeight="1" s="51">
      <c r="A13" s="67" t="inlineStr">
        <is>
          <t>TC_005</t>
        </is>
      </c>
      <c r="B13" s="68" t="inlineStr">
        <is>
          <t>Login Using Email</t>
        </is>
      </c>
      <c r="C13" s="69" t="inlineStr">
        <is>
          <t>An email address nobody holds is turned away by the server</t>
        </is>
      </c>
      <c r="D13" s="70" t="inlineStr">
        <is>
          <t>Negative</t>
        </is>
      </c>
      <c r="E13" s="71" t="inlineStr">
        <is>
          <t>User is on Login page.</t>
        </is>
      </c>
      <c r="F13" s="72" t="inlineStr">
        <is>
          <t>-I am on the UMPay login page
-When I try to sign in with the email address in "&lt;row&gt;" of "&lt;excelSheetName&gt;" of "&lt;excelFileName&gt;"
-Then the sign in should be refused with the message in "&lt;row&gt;" of "&lt;excelSheetName&gt;" of "&lt;excelFileName&gt;"
-And I should still be on the login page</t>
        </is>
      </c>
      <c r="G13" s="67" t="inlineStr">
        <is>
          <t>Invalid email address</t>
        </is>
      </c>
      <c r="H13" s="73" t="inlineStr">
        <is>
          <t>User should not be able to login</t>
        </is>
      </c>
      <c r="I13" s="73" t="inlineStr">
        <is>
          <t>User is on login page</t>
        </is>
      </c>
      <c r="J13" s="73" t="inlineStr">
        <is>
          <t>User can not login</t>
        </is>
      </c>
      <c r="K13" s="74" t="inlineStr">
        <is>
          <t>PASS</t>
        </is>
      </c>
      <c r="L13" s="74" t="inlineStr">
        <is>
          <t>HIGH</t>
        </is>
      </c>
      <c r="M13" s="58" t="n"/>
      <c r="N13" s="75" t="n">
        <v>46104</v>
      </c>
      <c r="O13" s="53" t="inlineStr">
        <is>
          <t>Window OS</t>
        </is>
      </c>
      <c r="P13" s="76" t="inlineStr">
        <is>
          <t>Edge</t>
        </is>
      </c>
      <c r="Q13" s="70" t="n"/>
      <c r="R13" s="70" t="n"/>
      <c r="S13" s="77" t="inlineStr">
        <is>
          <t>Run</t>
        </is>
      </c>
    </row>
    <row r="14" ht="15.75" customHeight="1" s="51">
      <c r="A14" s="67" t="inlineStr">
        <is>
          <t>TC_006</t>
        </is>
      </c>
      <c r="B14" s="68" t="inlineStr">
        <is>
          <t>Login Using Email</t>
        </is>
      </c>
      <c r="C14" s="69" t="inlineStr">
        <is>
          <t>A password under six characters is refused</t>
        </is>
      </c>
      <c r="D14" s="70" t="inlineStr">
        <is>
          <t>Negative</t>
        </is>
      </c>
      <c r="E14" s="71" t="inlineStr">
        <is>
          <t>User is on Login page.</t>
        </is>
      </c>
      <c r="F14" s="72" t="inlineStr">
        <is>
          <t>-I am on the UMPay login page
-When I try to sign in with the email address in "&lt;row&gt;" of "&lt;excelSheetName&gt;" of "&lt;excelFileName&gt;"
-Then the form should complain with the message in "&lt;row&gt;" of "&lt;excelSheetName&gt;" of "&lt;excelFileName&gt;"
-And I should still be on the login page</t>
        </is>
      </c>
      <c r="G14" s="67" t="inlineStr">
        <is>
          <t>Invalid email address</t>
        </is>
      </c>
      <c r="H14" s="73" t="inlineStr">
        <is>
          <t>User should not be able to login</t>
        </is>
      </c>
      <c r="I14" s="73" t="inlineStr">
        <is>
          <t>User is on login page</t>
        </is>
      </c>
      <c r="J14" s="73" t="inlineStr">
        <is>
          <t>User can not login</t>
        </is>
      </c>
      <c r="K14" s="74" t="inlineStr">
        <is>
          <t>PASS</t>
        </is>
      </c>
      <c r="L14" s="74" t="inlineStr">
        <is>
          <t>HIGH</t>
        </is>
      </c>
      <c r="M14" s="58" t="n"/>
      <c r="N14" s="75" t="n">
        <v>46104</v>
      </c>
      <c r="O14" s="53" t="inlineStr">
        <is>
          <t>Window OS</t>
        </is>
      </c>
      <c r="P14" s="76" t="inlineStr">
        <is>
          <t>Edge</t>
        </is>
      </c>
      <c r="Q14" s="70" t="n"/>
      <c r="R14" s="70" t="n"/>
      <c r="S14" s="77" t="inlineStr">
        <is>
          <t>Run</t>
        </is>
      </c>
    </row>
    <row r="15" ht="15.75" customHeight="1" s="51">
      <c r="A15" s="67" t="inlineStr">
        <is>
          <t>TC_007</t>
        </is>
      </c>
      <c r="B15" s="68" t="inlineStr">
        <is>
          <t>Login Using Email</t>
        </is>
      </c>
      <c r="C15" s="69" t="inlineStr">
        <is>
          <t>An empty password cannot be submitted</t>
        </is>
      </c>
      <c r="D15" s="70" t="inlineStr">
        <is>
          <t>Negative</t>
        </is>
      </c>
      <c r="E15" s="71" t="inlineStr">
        <is>
          <t>User is on Login page.</t>
        </is>
      </c>
      <c r="F15" s="72" t="inlineStr">
        <is>
          <t>-I am on the UMPay login page
-When I try to sign in with the email address in "&lt;row&gt;" of "&lt;excelSheetName&gt;" of "&lt;excelFileName&gt;"
-Then the browser should reject the login "password" field with the message in "&lt;row&gt;" of "&lt;excelSheetName&gt;" of "&lt;excelFileName&gt;"
-And I should still be on the login page</t>
        </is>
      </c>
      <c r="G15" s="67" t="inlineStr">
        <is>
          <t>Invalid email address</t>
        </is>
      </c>
      <c r="H15" s="73" t="inlineStr">
        <is>
          <t>User should not be able to login</t>
        </is>
      </c>
      <c r="I15" s="73" t="inlineStr">
        <is>
          <t>User is on login page</t>
        </is>
      </c>
      <c r="J15" s="73" t="inlineStr">
        <is>
          <t>User can not login</t>
        </is>
      </c>
      <c r="K15" s="74" t="inlineStr">
        <is>
          <t>PASS</t>
        </is>
      </c>
      <c r="L15" s="74" t="inlineStr">
        <is>
          <t>HIGH</t>
        </is>
      </c>
      <c r="M15" s="58" t="n"/>
      <c r="N15" s="75" t="n">
        <v>46104</v>
      </c>
      <c r="O15" s="53" t="inlineStr">
        <is>
          <t>Window OS</t>
        </is>
      </c>
      <c r="P15" s="76" t="inlineStr">
        <is>
          <t>Edge</t>
        </is>
      </c>
      <c r="Q15" s="70" t="n"/>
      <c r="R15" s="70" t="n"/>
      <c r="S15" s="77" t="inlineStr">
        <is>
          <t>Run</t>
        </is>
      </c>
    </row>
    <row r="16" ht="15.75" customHeight="1" s="51">
      <c r="A16" s="67" t="inlineStr">
        <is>
          <t>TC_008</t>
        </is>
      </c>
      <c r="B16" s="68" t="inlineStr">
        <is>
          <t>Login Using Phone</t>
        </is>
      </c>
      <c r="C16" s="69" t="inlineStr">
        <is>
          <t>A phone number that is not a number is rejected before anything is sent</t>
        </is>
      </c>
      <c r="D16" s="70" t="inlineStr">
        <is>
          <t>Negative</t>
        </is>
      </c>
      <c r="E16" s="71" t="inlineStr">
        <is>
          <t>User is on Login page.</t>
        </is>
      </c>
      <c r="F16" s="72" t="inlineStr">
        <is>
          <t>-I am on the UMPay login page
-When I try to sign in with the phone number in "&lt;row&gt;" of "&lt;excelSheetName&gt;" of "&lt;excelFileName&gt;"
-Then the browser should reject the login "phone" field with the message in "&lt;row&gt;" of "&lt;excelSheetName&gt;" of "&lt;excelFileName&gt;"
-And I should still be on the login page</t>
        </is>
      </c>
      <c r="G16" s="67" t="inlineStr">
        <is>
          <t>Invalid phone number</t>
        </is>
      </c>
      <c r="H16" s="73" t="inlineStr">
        <is>
          <t>User should not be able to login</t>
        </is>
      </c>
      <c r="I16" s="73" t="inlineStr">
        <is>
          <t>User is on login page</t>
        </is>
      </c>
      <c r="J16" s="73" t="inlineStr">
        <is>
          <t>User can not login</t>
        </is>
      </c>
      <c r="K16" s="74" t="inlineStr">
        <is>
          <t>PASS</t>
        </is>
      </c>
      <c r="L16" s="74" t="inlineStr">
        <is>
          <t>HIGH</t>
        </is>
      </c>
      <c r="M16" s="58" t="n"/>
      <c r="N16" s="75" t="n">
        <v>46104</v>
      </c>
      <c r="O16" s="53" t="inlineStr">
        <is>
          <t>Window OS</t>
        </is>
      </c>
      <c r="P16" s="76" t="inlineStr">
        <is>
          <t>Edge</t>
        </is>
      </c>
      <c r="Q16" s="70" t="n"/>
      <c r="R16" s="70" t="n"/>
      <c r="S16" s="77" t="inlineStr">
        <is>
          <t>Run</t>
        </is>
      </c>
    </row>
    <row r="17" ht="15.75" customHeight="1" s="51">
      <c r="A17" s="67" t="inlineStr">
        <is>
          <t>TC_009</t>
        </is>
      </c>
      <c r="B17" s="68" t="inlineStr">
        <is>
          <t>Login Using Phone</t>
        </is>
      </c>
      <c r="C17" s="69" t="inlineStr">
        <is>
          <t>An empty phone number cannot be submitted</t>
        </is>
      </c>
      <c r="D17" s="70" t="inlineStr">
        <is>
          <t>Negative</t>
        </is>
      </c>
      <c r="E17" s="71" t="inlineStr">
        <is>
          <t>User is on Login page.</t>
        </is>
      </c>
      <c r="F17" s="72" t="inlineStr">
        <is>
          <t>-I am on the UMPay login page
-When I try to sign in with the phone number in "&lt;row&gt;" of "&lt;excelSheetName&gt;" of "&lt;excelFileName&gt;"
-Then the browser should reject the login "phone" field with the message in "&lt;row&gt;" of "&lt;excelSheetName&gt;" of "&lt;excelFileName&gt;"
-And I should still be on the login page</t>
        </is>
      </c>
      <c r="G17" s="67" t="inlineStr">
        <is>
          <t>Invalid phone number</t>
        </is>
      </c>
      <c r="H17" s="73" t="inlineStr">
        <is>
          <t>User should not be able to login</t>
        </is>
      </c>
      <c r="I17" s="73" t="inlineStr">
        <is>
          <t>User is on login page</t>
        </is>
      </c>
      <c r="J17" s="73" t="inlineStr">
        <is>
          <t>User can not login</t>
        </is>
      </c>
      <c r="K17" s="74" t="inlineStr">
        <is>
          <t>PASS</t>
        </is>
      </c>
      <c r="L17" s="74" t="inlineStr">
        <is>
          <t>HIGH</t>
        </is>
      </c>
      <c r="M17" s="58" t="n"/>
      <c r="N17" s="75" t="n">
        <v>46104</v>
      </c>
      <c r="O17" s="53" t="inlineStr">
        <is>
          <t>Window OS</t>
        </is>
      </c>
      <c r="P17" s="76" t="inlineStr">
        <is>
          <t>Edge</t>
        </is>
      </c>
      <c r="Q17" s="70" t="n"/>
      <c r="R17" s="70" t="n"/>
      <c r="S17" s="77" t="inlineStr">
        <is>
          <t>Run</t>
        </is>
      </c>
    </row>
    <row r="18" ht="15.75" customHeight="1" s="51">
      <c r="A18" s="67" t="inlineStr">
        <is>
          <t>TC_010</t>
        </is>
      </c>
      <c r="B18" s="68" t="inlineStr">
        <is>
          <t>Login Using Phone</t>
        </is>
      </c>
      <c r="C18" s="69" t="inlineStr">
        <is>
          <t>A phone number shorter than six digits is refused</t>
        </is>
      </c>
      <c r="D18" s="70" t="inlineStr">
        <is>
          <t>Negative</t>
        </is>
      </c>
      <c r="E18" s="71" t="inlineStr">
        <is>
          <t>User is on Login page.</t>
        </is>
      </c>
      <c r="F18" s="72" t="inlineStr">
        <is>
          <t>-I am on the UMPay login page
-When I try to sign in with the phone number in "&lt;row&gt;" of "&lt;excelSheetName&gt;" of "&lt;excelFileName&gt;"
-Then the sign in should be refused with the message in "&lt;row&gt;" of "&lt;excelSheetName&gt;" of "&lt;excelFileName&gt;"
-And I should still be on the login page</t>
        </is>
      </c>
      <c r="G18" s="67" t="inlineStr">
        <is>
          <t>Invalid phone number</t>
        </is>
      </c>
      <c r="H18" s="73" t="inlineStr">
        <is>
          <t>User should not be able to login</t>
        </is>
      </c>
      <c r="I18" s="73" t="inlineStr">
        <is>
          <t>User is on login page</t>
        </is>
      </c>
      <c r="J18" s="73" t="inlineStr">
        <is>
          <t>User can not login</t>
        </is>
      </c>
      <c r="K18" s="74" t="inlineStr">
        <is>
          <t>PASS</t>
        </is>
      </c>
      <c r="L18" s="74" t="inlineStr">
        <is>
          <t>HIGH</t>
        </is>
      </c>
      <c r="M18" s="58" t="n"/>
      <c r="N18" s="75" t="n">
        <v>46104</v>
      </c>
      <c r="O18" s="53" t="inlineStr">
        <is>
          <t>Window OS</t>
        </is>
      </c>
      <c r="P18" s="76" t="inlineStr">
        <is>
          <t>Edge</t>
        </is>
      </c>
      <c r="Q18" s="70" t="n"/>
      <c r="R18" s="70" t="n"/>
      <c r="S18" s="77" t="inlineStr">
        <is>
          <t>Run</t>
        </is>
      </c>
    </row>
    <row r="19" ht="15.75" customHeight="1" s="51">
      <c r="A19" s="67" t="inlineStr">
        <is>
          <t>TC_011</t>
        </is>
      </c>
      <c r="B19" s="68" t="inlineStr">
        <is>
          <t>Login Using Phone</t>
        </is>
      </c>
      <c r="C19" s="69" t="inlineStr">
        <is>
          <t>A phone number nobody holds is turned away by the server</t>
        </is>
      </c>
      <c r="D19" s="70" t="inlineStr">
        <is>
          <t>Negative</t>
        </is>
      </c>
      <c r="E19" s="71" t="inlineStr">
        <is>
          <t>User is on Login page.</t>
        </is>
      </c>
      <c r="F19" s="72" t="inlineStr">
        <is>
          <t>-I am on the UMPay login page
-When I try to sign in with the phone number in "&lt;row&gt;" of "&lt;excelSheetName&gt;" of "&lt;excelFileName&gt;"
-Then the sign in should be refused with the message in "&lt;row&gt;" of "&lt;excelSheetName&gt;" of "&lt;excelFileName&gt;"
-And I should still be on the login page</t>
        </is>
      </c>
      <c r="G19" s="67" t="inlineStr">
        <is>
          <t>Invalid phone number</t>
        </is>
      </c>
      <c r="H19" s="73" t="inlineStr">
        <is>
          <t>User should not be able to login</t>
        </is>
      </c>
      <c r="I19" s="73" t="inlineStr">
        <is>
          <t>User is on login page</t>
        </is>
      </c>
      <c r="J19" s="73" t="inlineStr">
        <is>
          <t>User can not login</t>
        </is>
      </c>
      <c r="K19" s="74" t="inlineStr">
        <is>
          <t>PASS</t>
        </is>
      </c>
      <c r="L19" s="74" t="inlineStr">
        <is>
          <t>HIGH</t>
        </is>
      </c>
      <c r="M19" s="58" t="n"/>
      <c r="N19" s="75" t="n">
        <v>46104</v>
      </c>
      <c r="O19" s="53" t="inlineStr">
        <is>
          <t>Window OS</t>
        </is>
      </c>
      <c r="P19" s="76" t="inlineStr">
        <is>
          <t>Edge</t>
        </is>
      </c>
      <c r="Q19" s="70" t="n"/>
      <c r="R19" s="70" t="n"/>
      <c r="S19" s="77" t="inlineStr">
        <is>
          <t>Run</t>
        </is>
      </c>
    </row>
    <row r="20" ht="15.75" customHeight="1" s="51">
      <c r="A20" s="67" t="inlineStr">
        <is>
          <t>TC_012</t>
        </is>
      </c>
      <c r="B20" s="68" t="inlineStr">
        <is>
          <t>Login Using Phone</t>
        </is>
      </c>
      <c r="C20" s="69" t="inlineStr">
        <is>
          <t>The phone box keeps a leading zero</t>
        </is>
      </c>
      <c r="D20" s="70" t="inlineStr">
        <is>
          <t>Negative</t>
        </is>
      </c>
      <c r="E20" s="71" t="inlineStr">
        <is>
          <t>User is on Login page.</t>
        </is>
      </c>
      <c r="F20" s="72" t="inlineStr">
        <is>
          <t>-I am on the UMPay login page
-When I enter the phone number in "&lt;row&gt;" of "&lt;excelSheetName&gt;" of "&lt;excelFileName&gt;" without signing in
-Then the phone number should be kept as typed in "&lt;row&gt;" of "&lt;excelSheetName&gt;" of "&lt;excelFileName&gt;"</t>
        </is>
      </c>
      <c r="G20" s="67" t="inlineStr">
        <is>
          <t>Invalid phone number</t>
        </is>
      </c>
      <c r="H20" s="73" t="inlineStr">
        <is>
          <t>User should not be able to login</t>
        </is>
      </c>
      <c r="I20" s="73" t="inlineStr">
        <is>
          <t>User is on login page</t>
        </is>
      </c>
      <c r="J20" s="73" t="inlineStr">
        <is>
          <t>User can not login</t>
        </is>
      </c>
      <c r="K20" s="74" t="inlineStr">
        <is>
          <t>PASS</t>
        </is>
      </c>
      <c r="L20" s="74" t="inlineStr">
        <is>
          <t>HIGH</t>
        </is>
      </c>
      <c r="M20" s="58" t="n"/>
      <c r="N20" s="75" t="n">
        <v>46104</v>
      </c>
      <c r="O20" s="53" t="inlineStr">
        <is>
          <t>Window OS</t>
        </is>
      </c>
      <c r="P20" s="76" t="inlineStr">
        <is>
          <t>Edge</t>
        </is>
      </c>
      <c r="Q20" s="70" t="n"/>
      <c r="R20" s="70" t="n"/>
      <c r="S20" s="77" t="inlineStr">
        <is>
          <t>Run</t>
        </is>
      </c>
    </row>
    <row r="21" ht="15.75" customHeight="1" s="51">
      <c r="A21" s="67" t="inlineStr">
        <is>
          <t>TC_013</t>
        </is>
      </c>
      <c r="B21" s="68" t="inlineStr">
        <is>
          <t>Language</t>
        </is>
      </c>
      <c r="C21" s="69" t="inlineStr">
        <is>
          <t>The login page can be shown in another language</t>
        </is>
      </c>
      <c r="D21" s="70" t="inlineStr">
        <is>
          <t>Positive</t>
        </is>
      </c>
      <c r="E21" s="71" t="inlineStr">
        <is>
          <t>User is on Login page.</t>
        </is>
      </c>
      <c r="F21" s="72" t="inlineStr">
        <is>
          <t>-I am on the UMPay login page
-Then the login page should offer more than one language
-When I choose another language
-Then the login page should come back in the language I chose
-When I choose the language "English"
-Then the login page should be shown in "English"</t>
        </is>
      </c>
      <c r="G21" s="67" t="inlineStr">
        <is>
          <t>Valid UMPay user</t>
        </is>
      </c>
      <c r="H21" s="73" t="inlineStr">
        <is>
          <t>User be able to change language</t>
        </is>
      </c>
      <c r="I21" s="73" t="inlineStr">
        <is>
          <t>User is on login page</t>
        </is>
      </c>
      <c r="J21" s="73" t="inlineStr">
        <is>
          <t>User can change language</t>
        </is>
      </c>
      <c r="K21" s="74" t="inlineStr">
        <is>
          <t>PASS</t>
        </is>
      </c>
      <c r="L21" s="74" t="inlineStr">
        <is>
          <t>HIGH</t>
        </is>
      </c>
      <c r="M21" s="58" t="n"/>
      <c r="N21" s="75" t="n">
        <v>46104</v>
      </c>
      <c r="O21" s="53" t="inlineStr">
        <is>
          <t>Window OS</t>
        </is>
      </c>
      <c r="P21" s="76" t="inlineStr">
        <is>
          <t>Edge</t>
        </is>
      </c>
      <c r="Q21" s="70" t="n"/>
      <c r="R21" s="70" t="n"/>
      <c r="S21" s="77" t="inlineStr">
        <is>
          <t>Run</t>
        </is>
      </c>
    </row>
    <row r="22" ht="15.75" customHeight="1" s="51">
      <c r="A22" s="67" t="inlineStr">
        <is>
          <t>TC_014</t>
        </is>
      </c>
      <c r="B22" s="68" t="inlineStr">
        <is>
          <t>Login Using Phone</t>
        </is>
      </c>
      <c r="C22" s="69" t="inlineStr">
        <is>
          <t xml:space="preserve"> A wrong password is refused and counts against the account</t>
        </is>
      </c>
      <c r="D22" s="70" t="inlineStr">
        <is>
          <t>Negative</t>
        </is>
      </c>
      <c r="E22" s="71" t="inlineStr">
        <is>
          <t>User is on Login page.</t>
        </is>
      </c>
      <c r="F22" s="72" t="inlineStr">
        <is>
          <t>-I am on the UMPay login page
-When I try to sign in with the email address in "&lt;row&gt;" of "&lt;excelSheetName&gt;" of "&lt;excelFileName&gt;"
-Then the sign in should be refused with the message in "&lt;row&gt;" of "&lt;excelSheetName&gt;" of "&lt;excelFileName&gt;"
-And I should still be on the login page</t>
        </is>
      </c>
      <c r="G22" s="67" t="inlineStr">
        <is>
          <t>Valid UMPay</t>
        </is>
      </c>
      <c r="H22" s="73" t="inlineStr">
        <is>
          <t>User should not be able to login</t>
        </is>
      </c>
      <c r="I22" s="73" t="inlineStr">
        <is>
          <t>User is on login page</t>
        </is>
      </c>
      <c r="J22" s="73" t="inlineStr">
        <is>
          <t>User can not login</t>
        </is>
      </c>
      <c r="K22" s="74" t="inlineStr">
        <is>
          <t>PASS</t>
        </is>
      </c>
      <c r="L22" s="74" t="inlineStr">
        <is>
          <t>HIGH</t>
        </is>
      </c>
      <c r="M22" s="58" t="n"/>
      <c r="N22" s="75" t="n">
        <v>46104</v>
      </c>
      <c r="O22" s="53" t="inlineStr">
        <is>
          <t>Window OS</t>
        </is>
      </c>
      <c r="P22" s="76" t="inlineStr">
        <is>
          <t>Edge</t>
        </is>
      </c>
      <c r="Q22" s="70" t="n"/>
      <c r="R22" s="70" t="n"/>
      <c r="S22" s="77" t="inlineStr">
        <is>
          <t>Run</t>
        </is>
      </c>
    </row>
    <row r="23" ht="15.75" customHeight="1" s="51">
      <c r="A23" s="67" t="inlineStr">
        <is>
          <t>TC_015</t>
        </is>
      </c>
      <c r="B23" s="68" t="inlineStr">
        <is>
          <t>Login Using Phone</t>
        </is>
      </c>
      <c r="C23" s="69" t="inlineStr">
        <is>
          <t>Three wrong passwords in a row lock the account</t>
        </is>
      </c>
      <c r="D23" s="70" t="inlineStr">
        <is>
          <t>Negative</t>
        </is>
      </c>
      <c r="E23" s="71" t="inlineStr">
        <is>
          <t>User is on Login page.</t>
        </is>
      </c>
      <c r="F23" s="72" t="inlineStr">
        <is>
          <t>-I am on the UMPay login page
-When I try to sign in with the email address in "&lt;row&gt;" of "&lt;excelSheetName&gt;" of "&lt;excelFileName&gt;"
-And I try to sign in with the email address in "&lt;row&gt;" of "&lt;excelSheetName&gt;" of "&lt;excelFileName&gt;"
-And I try to sign in with the email address in "&lt;row&gt;" of "&lt;excelSheetName&gt;" of "&lt;excelFileName&gt;"</t>
        </is>
      </c>
      <c r="G23" s="67" t="inlineStr">
        <is>
          <t>Valid UMPay</t>
        </is>
      </c>
      <c r="H23" s="73" t="inlineStr">
        <is>
          <t>User should not be able to login</t>
        </is>
      </c>
      <c r="I23" s="73" t="inlineStr">
        <is>
          <t>User is on login page</t>
        </is>
      </c>
      <c r="J23" s="73" t="inlineStr">
        <is>
          <t>User can not login</t>
        </is>
      </c>
      <c r="K23" s="74" t="inlineStr">
        <is>
          <t>PASS</t>
        </is>
      </c>
      <c r="L23" s="74" t="inlineStr">
        <is>
          <t>HIGH</t>
        </is>
      </c>
      <c r="M23" s="58" t="n"/>
      <c r="N23" s="75" t="n">
        <v>46104</v>
      </c>
      <c r="O23" s="53" t="inlineStr">
        <is>
          <t>Window OS</t>
        </is>
      </c>
      <c r="P23" s="76" t="inlineStr">
        <is>
          <t>Edge</t>
        </is>
      </c>
      <c r="Q23" s="70" t="n"/>
      <c r="R23" s="70" t="n"/>
      <c r="S23" s="77" t="inlineStr">
        <is>
          <t>Run</t>
        </is>
      </c>
    </row>
    <row r="24" ht="15.75" customHeight="1" s="51">
      <c r="A24" s="67" t="inlineStr">
        <is>
          <t>TC_016</t>
        </is>
      </c>
      <c r="B24" s="68" t="inlineStr">
        <is>
          <t>Login</t>
        </is>
      </c>
      <c r="C24" s="69" t="inlineStr">
        <is>
          <t>Forgot password reaches the reset page</t>
        </is>
      </c>
      <c r="D24" s="70" t="inlineStr">
        <is>
          <t>Positive</t>
        </is>
      </c>
      <c r="E24" s="71" t="inlineStr">
        <is>
          <t>User is on the login page</t>
        </is>
      </c>
      <c r="F24" s="72" t="inlineStr">
        <is>
          <t>-Given I am on the UMPay "&lt;page&gt;" page
-When I follow the Forgot password link
-Then the password reset page should open</t>
        </is>
      </c>
      <c r="G24" s="67" t="inlineStr">
        <is>
          <t>No account needed</t>
        </is>
      </c>
      <c r="H24" s="73" t="inlineStr">
        <is>
          <t>The Forgot password link should open the password reset page, since somebody locked out of their account has to be able to reach it without signing in</t>
        </is>
      </c>
      <c r="I24" s="73" t="inlineStr">
        <is>
          <t>User is on the password reset page</t>
        </is>
      </c>
      <c r="J24" s="73" t="inlineStr">
        <is>
          <t>The Forgot password link opened the password reset page</t>
        </is>
      </c>
      <c r="K24" s="74" t="inlineStr">
        <is>
          <t>PASS</t>
        </is>
      </c>
      <c r="L24" s="74" t="inlineStr">
        <is>
          <t>HIGH</t>
        </is>
      </c>
      <c r="M24" s="58" t="inlineStr">
        <is>
          <t>KIMA</t>
        </is>
      </c>
      <c r="N24" s="103" t="n">
        <v>46273</v>
      </c>
      <c r="O24" s="53" t="inlineStr">
        <is>
          <t>Window OS</t>
        </is>
      </c>
      <c r="P24" s="76" t="inlineStr">
        <is>
          <t>Chromium</t>
        </is>
      </c>
      <c r="Q24" s="70" t="n"/>
      <c r="R24" s="70" t="n"/>
      <c r="S24" s="77" t="inlineStr">
        <is>
          <t>Run</t>
        </is>
      </c>
    </row>
    <row r="25" ht="15.75" customHeight="1" s="51">
      <c r="A25" s="67" t="inlineStr">
        <is>
          <t>TC_017</t>
        </is>
      </c>
      <c r="B25" s="68" t="inlineStr">
        <is>
          <t>Login</t>
        </is>
      </c>
      <c r="C25" s="69" t="inlineStr">
        <is>
          <t>A new user can reach registration from the login page</t>
        </is>
      </c>
      <c r="D25" s="70" t="inlineStr">
        <is>
          <t>Positive</t>
        </is>
      </c>
      <c r="E25" s="71" t="inlineStr">
        <is>
          <t>User is on the login page</t>
        </is>
      </c>
      <c r="F25" s="72" t="inlineStr">
        <is>
          <t>-Given I am on the UMPay "&lt;page&gt;" page
-When I follow the Register link
-Then the registration page should open</t>
        </is>
      </c>
      <c r="G25" s="67" t="inlineStr">
        <is>
          <t>No account needed</t>
        </is>
      </c>
      <c r="H25" s="73" t="inlineStr">
        <is>
          <t>The Register link should open the registration page, so somebody without an account can get one from where they landed</t>
        </is>
      </c>
      <c r="I25" s="73" t="inlineStr">
        <is>
          <t>User is on the registration page</t>
        </is>
      </c>
      <c r="J25" s="73" t="inlineStr">
        <is>
          <t>The Register link opened the registration page</t>
        </is>
      </c>
      <c r="K25" s="74" t="inlineStr">
        <is>
          <t>PASS</t>
        </is>
      </c>
      <c r="L25" s="74" t="inlineStr">
        <is>
          <t>MEDIUM</t>
        </is>
      </c>
      <c r="M25" s="58" t="inlineStr">
        <is>
          <t>KIMA</t>
        </is>
      </c>
      <c r="N25" s="103" t="n">
        <v>46273</v>
      </c>
      <c r="O25" s="53" t="inlineStr">
        <is>
          <t>Window OS</t>
        </is>
      </c>
      <c r="P25" s="76" t="inlineStr">
        <is>
          <t>Chromium</t>
        </is>
      </c>
      <c r="Q25" s="70" t="n"/>
      <c r="R25" s="70" t="n"/>
      <c r="S25" s="77" t="inlineStr">
        <is>
          <t>Run</t>
        </is>
      </c>
    </row>
    <row r="26" ht="15.75" customHeight="1" s="51">
      <c r="A26" s="67" t="inlineStr">
        <is>
          <t>TC_018</t>
        </is>
      </c>
      <c r="B26" s="68" t="inlineStr">
        <is>
          <t>Login</t>
        </is>
      </c>
      <c r="C26" s="69" t="inlineStr">
        <is>
          <t>Customer Service can be reached without signing in</t>
        </is>
      </c>
      <c r="D26" s="70" t="inlineStr">
        <is>
          <t>Positive</t>
        </is>
      </c>
      <c r="E26" s="71" t="inlineStr">
        <is>
          <t>User is on the login page</t>
        </is>
      </c>
      <c r="F26" s="72" t="inlineStr">
        <is>
          <t>-Given I am on the UMPay "&lt;page&gt;" page
-When I open Customer Service from the login page
-Then the customer service chat should open</t>
        </is>
      </c>
      <c r="G26" s="67" t="inlineStr">
        <is>
          <t>No account needed</t>
        </is>
      </c>
      <c r="H26" s="73" t="inlineStr">
        <is>
          <t>The support bubble should open the chat without signing in, since somebody who cannot sign in is exactly who needs to reach support</t>
        </is>
      </c>
      <c r="I26" s="73" t="inlineStr">
        <is>
          <t>The customer service chat is open</t>
        </is>
      </c>
      <c r="J26" s="73" t="inlineStr">
        <is>
          <t>Pressing the support bubble opened the customer service chat, which is served as a separate application in an iframe. Worth noting about the page itself: two buttons are pinned to that corner, and the second declares z-index 9999 yet is drawn underneath the first, whose image overlaps it - so anything addressing that second button is intercepted every time</t>
        </is>
      </c>
      <c r="K26" s="74" t="inlineStr">
        <is>
          <t>PASS</t>
        </is>
      </c>
      <c r="L26" s="74" t="inlineStr">
        <is>
          <t>HIGH</t>
        </is>
      </c>
      <c r="M26" s="58" t="inlineStr">
        <is>
          <t>KIMA</t>
        </is>
      </c>
      <c r="N26" s="103" t="n">
        <v>46273</v>
      </c>
      <c r="O26" s="53" t="inlineStr">
        <is>
          <t>Window OS</t>
        </is>
      </c>
      <c r="P26" s="76" t="inlineStr">
        <is>
          <t>Chromium</t>
        </is>
      </c>
      <c r="Q26" s="70" t="n"/>
      <c r="R26" s="70" t="n"/>
      <c r="S26" s="77" t="inlineStr">
        <is>
          <t>Run</t>
        </is>
      </c>
    </row>
  </sheetData>
  <autoFilter ref="A8:AA23"/>
  <dataValidations count="7">
    <dataValidation sqref="K9:K26" showDropDown="0" showInputMessage="0" showErrorMessage="1" allowBlank="1" type="list" operator="between">
      <formula1>"PASS,FAIL,PENDING"</formula1>
      <formula2>0</formula2>
    </dataValidation>
    <dataValidation sqref="P9:P26" showDropDown="0" showInputMessage="0" showErrorMessage="1" allowBlank="1" type="list" operator="between">
      <formula1>METADATA!$H$2:$H$8</formula1>
      <formula2>0</formula2>
    </dataValidation>
    <dataValidation sqref="O9:O26" showDropDown="0" showInputMessage="0" showErrorMessage="1" allowBlank="1" type="list" operator="between">
      <formula1>METADATA!$J$2:$J$7</formula1>
      <formula2>0</formula2>
    </dataValidation>
    <dataValidation sqref="D9:D26" showDropDown="0" showInputMessage="0" showErrorMessage="1" allowBlank="1" type="list" operator="between">
      <formula1>METADATA!$N$2:$N$3</formula1>
      <formula2>0</formula2>
    </dataValidation>
    <dataValidation sqref="B4 M9:M26" showDropDown="0" showInputMessage="0" showErrorMessage="1" allowBlank="1" type="list" operator="between">
      <formula1>METADATA!$F$2:$F$4</formula1>
      <formula2>0</formula2>
    </dataValidation>
    <dataValidation sqref="L9:L26" showDropDown="0" showInputMessage="0" showErrorMessage="1" allowBlank="1" type="list" operator="between">
      <formula1>"HIGH,MEDIUM,LOW"</formula1>
      <formula2>0</formula2>
    </dataValidation>
    <dataValidation sqref="B1" showDropDown="0" showInputMessage="0" showErrorMessage="1" allowBlank="1" type="list" operator="between">
      <formula1>"WPAY,UMPay,OFL,UNCS"</formula1>
      <formula2>0</formula2>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 xmlns:r="http://schemas.openxmlformats.org/officeDocument/2006/relationships" ref="S20" r:id="rId12"/>
    <hyperlink xmlns:r="http://schemas.openxmlformats.org/officeDocument/2006/relationships" ref="S21" r:id="rId13"/>
    <hyperlink xmlns:r="http://schemas.openxmlformats.org/officeDocument/2006/relationships" ref="S22" r:id="rId14"/>
    <hyperlink xmlns:r="http://schemas.openxmlformats.org/officeDocument/2006/relationships" ref="S23" r:id="rId15"/>
    <hyperlink xmlns:r="http://schemas.openxmlformats.org/officeDocument/2006/relationships" ref="S24" r:id="rId16"/>
    <hyperlink xmlns:r="http://schemas.openxmlformats.org/officeDocument/2006/relationships" ref="S25" r:id="rId17"/>
    <hyperlink xmlns:r="http://schemas.openxmlformats.org/officeDocument/2006/relationships" ref="S26" r:id="rId18"/>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T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RowHeight="15.75" zeroHeight="0" outlineLevelRow="0"/>
  <cols>
    <col width="12.63" customWidth="1" style="50" min="1" max="1"/>
    <col width="13.75" customWidth="1" style="50" min="2" max="2"/>
    <col width="23.88" customWidth="1" style="50" min="3" max="3"/>
    <col width="12.63" customWidth="1" style="50" min="4" max="5"/>
    <col width="29.88" customWidth="1" style="50" min="6" max="6"/>
    <col width="12.63" customWidth="1" style="50" min="7" max="7"/>
    <col width="23.38" customWidth="1" style="50" min="8" max="8"/>
    <col width="16.13" customWidth="1" style="50" min="9" max="9"/>
    <col width="12.63" customWidth="1" style="50" min="10"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Register</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46170</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46170</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8" t="inlineStr">
        <is>
          <t>Registration</t>
        </is>
      </c>
      <c r="C9" s="72" t="inlineStr">
        <is>
          <t>Successful registration with a new email address</t>
        </is>
      </c>
      <c r="D9" s="70" t="inlineStr">
        <is>
          <t>Positive</t>
        </is>
      </c>
      <c r="E9" s="71" t="inlineStr">
        <is>
          <t>User is on Register Page.</t>
        </is>
      </c>
      <c r="F9" s="72" t="inlineStr">
        <is>
          <t>-When I register with an email address using "&lt;row&gt;" of "&lt;excelSheetName&gt;" of "&lt;excelFileName&gt;"
-And I enter the verification code sent to the email address
-Then the registration should be accepted
-When I accept the policies shown to a new account
-And I set a PIN security code
-And I skip the two factor authentication prompt
-Then I should land on the UMPay home page
-And I should see the account wallets on the home page</t>
        </is>
      </c>
      <c r="G9" s="72" t="inlineStr">
        <is>
          <t>Valid email address</t>
        </is>
      </c>
      <c r="H9" s="73" t="inlineStr">
        <is>
          <t>User should be able to register successfully</t>
        </is>
      </c>
      <c r="I9" s="73" t="inlineStr">
        <is>
          <t>User is registered</t>
        </is>
      </c>
      <c r="J9" s="73" t="inlineStr">
        <is>
          <t>User can register successfully</t>
        </is>
      </c>
      <c r="K9" s="74" t="inlineStr">
        <is>
          <t>PASS</t>
        </is>
      </c>
      <c r="L9" s="74" t="inlineStr">
        <is>
          <t>HIGH</t>
        </is>
      </c>
      <c r="M9" s="58" t="inlineStr">
        <is>
          <t>KIMA</t>
        </is>
      </c>
      <c r="N9" s="75" t="n"/>
      <c r="O9" s="53" t="inlineStr">
        <is>
          <t>Window OS</t>
        </is>
      </c>
      <c r="P9" s="76" t="inlineStr">
        <is>
          <t>Edge</t>
        </is>
      </c>
      <c r="Q9" s="70" t="n"/>
      <c r="R9" s="70" t="n"/>
      <c r="S9" s="77" t="inlineStr">
        <is>
          <t>Run</t>
        </is>
      </c>
    </row>
    <row r="10" ht="15.75" customHeight="1" s="51">
      <c r="A10" s="67" t="inlineStr">
        <is>
          <t>TC_002</t>
        </is>
      </c>
      <c r="B10" s="78" t="inlineStr">
        <is>
          <t>Registration</t>
        </is>
      </c>
      <c r="C10" s="72" t="inlineStr">
        <is>
          <t>Successful registration with a phone number</t>
        </is>
      </c>
      <c r="D10" s="70" t="inlineStr">
        <is>
          <t>Positive</t>
        </is>
      </c>
      <c r="E10" s="71" t="inlineStr">
        <is>
          <t>User is on Register Page.</t>
        </is>
      </c>
      <c r="F10" s="72" t="inlineStr">
        <is>
          <t>-When I register with a phone number using "&lt;row&gt;" of "&lt;excelSheetName&gt;" of "&lt;excelFileName&gt;"
-Then the registration should reach the phone verification step</t>
        </is>
      </c>
      <c r="G10" s="72" t="inlineStr">
        <is>
          <t>Valid phone number</t>
        </is>
      </c>
      <c r="H10" s="73" t="inlineStr">
        <is>
          <t>User should be able to register successfully</t>
        </is>
      </c>
      <c r="I10" s="73" t="inlineStr">
        <is>
          <t>User is registered</t>
        </is>
      </c>
      <c r="J10" s="73" t="inlineStr">
        <is>
          <t>User can register successfully</t>
        </is>
      </c>
      <c r="K10" s="74" t="inlineStr">
        <is>
          <t>PASS</t>
        </is>
      </c>
      <c r="L10" s="74" t="inlineStr">
        <is>
          <t>HIGH</t>
        </is>
      </c>
      <c r="M10" s="58" t="inlineStr">
        <is>
          <t>KIMA</t>
        </is>
      </c>
      <c r="N10" s="75" t="n"/>
      <c r="O10" s="53" t="inlineStr">
        <is>
          <t>Window OS</t>
        </is>
      </c>
      <c r="P10" s="76" t="inlineStr">
        <is>
          <t>Edge</t>
        </is>
      </c>
      <c r="Q10" s="70" t="n"/>
      <c r="R10" s="70" t="n"/>
      <c r="S10" s="77" t="inlineStr">
        <is>
          <t>Run</t>
        </is>
      </c>
    </row>
    <row r="11" ht="15.75" customHeight="1" s="51">
      <c r="A11" s="67" t="inlineStr">
        <is>
          <t>TC_003</t>
        </is>
      </c>
      <c r="B11" s="78" t="inlineStr">
        <is>
          <t>Registration</t>
        </is>
      </c>
      <c r="C11" s="72" t="inlineStr">
        <is>
          <t>Registration is rejected for an email address that is already in use</t>
        </is>
      </c>
      <c r="D11" s="70" t="inlineStr">
        <is>
          <t>Negative</t>
        </is>
      </c>
      <c r="E11" s="71" t="inlineStr">
        <is>
          <t>User is on Register Page.</t>
        </is>
      </c>
      <c r="F11" s="72" t="inlineStr">
        <is>
          <t>-When I register with an email address using "&lt;row&gt;" of "&lt;excelSheetName&gt;" of "&lt;excelFileName&gt;"
-Then the registration should be rejected with the message in "&lt;row&gt;" of "&lt;excelSheetName&gt;" of "&lt;excelFileName&gt;"</t>
        </is>
      </c>
      <c r="G11" s="72" t="inlineStr">
        <is>
          <t>Email already used</t>
        </is>
      </c>
      <c r="H11" s="73" t="inlineStr">
        <is>
          <t>User should not be able to register</t>
        </is>
      </c>
      <c r="I11" s="73" t="inlineStr">
        <is>
          <t>User is not registered</t>
        </is>
      </c>
      <c r="J11" s="73" t="inlineStr">
        <is>
          <t>User can not register</t>
        </is>
      </c>
      <c r="K11" s="74" t="inlineStr">
        <is>
          <t>PASS</t>
        </is>
      </c>
      <c r="L11" s="74" t="inlineStr">
        <is>
          <t>HIGH</t>
        </is>
      </c>
      <c r="M11" s="58" t="inlineStr">
        <is>
          <t>KIMA</t>
        </is>
      </c>
      <c r="N11" s="75" t="n"/>
      <c r="O11" s="53" t="inlineStr">
        <is>
          <t>Window OS</t>
        </is>
      </c>
      <c r="P11" s="76" t="inlineStr">
        <is>
          <t>Edge</t>
        </is>
      </c>
      <c r="Q11" s="70" t="n"/>
      <c r="R11" s="70" t="n"/>
      <c r="S11" s="77" t="inlineStr">
        <is>
          <t>Run</t>
        </is>
      </c>
    </row>
    <row r="12" ht="15.75" customHeight="1" s="51">
      <c r="A12" s="67" t="inlineStr">
        <is>
          <t>TC_004</t>
        </is>
      </c>
      <c r="B12" s="78" t="inlineStr">
        <is>
          <t>Registration</t>
        </is>
      </c>
      <c r="C12" s="72" t="inlineStr">
        <is>
          <t>Registration is rejected for phone number that is already in use</t>
        </is>
      </c>
      <c r="D12" s="70" t="inlineStr">
        <is>
          <t>Negative</t>
        </is>
      </c>
      <c r="E12" s="71" t="inlineStr">
        <is>
          <t>User is on Register Page.</t>
        </is>
      </c>
      <c r="F12" s="72" t="inlineStr">
        <is>
          <t>-When I register with a phone number using "&lt;row&gt;" of "&lt;excelSheetName&gt;" of "&lt;excelFileName&gt;"
-Then the registration should be rejected with the message in "&lt;row&gt;" of "&lt;excelSheetName&gt;" of "&lt;excelFileName&gt;"</t>
        </is>
      </c>
      <c r="G12" s="72" t="inlineStr">
        <is>
          <t>Phone number already used</t>
        </is>
      </c>
      <c r="H12" s="73" t="inlineStr">
        <is>
          <t>User should not be able to register</t>
        </is>
      </c>
      <c r="I12" s="73" t="inlineStr">
        <is>
          <t>User is not registered</t>
        </is>
      </c>
      <c r="J12" s="73" t="inlineStr">
        <is>
          <t>User can not register</t>
        </is>
      </c>
      <c r="K12" s="74" t="inlineStr">
        <is>
          <t>PASS</t>
        </is>
      </c>
      <c r="L12" s="74" t="inlineStr">
        <is>
          <t>HIGH</t>
        </is>
      </c>
      <c r="M12" s="58" t="inlineStr">
        <is>
          <t>KIMA</t>
        </is>
      </c>
      <c r="N12" s="75" t="n"/>
      <c r="O12" s="53" t="inlineStr">
        <is>
          <t>Window OS</t>
        </is>
      </c>
      <c r="P12" s="76" t="inlineStr">
        <is>
          <t>Edge</t>
        </is>
      </c>
      <c r="Q12" s="70" t="n"/>
      <c r="R12" s="70" t="n"/>
      <c r="S12" s="77" t="inlineStr">
        <is>
          <t>Run</t>
        </is>
      </c>
    </row>
    <row r="13" ht="15.75" customHeight="1" s="51">
      <c r="A13" s="67" t="inlineStr">
        <is>
          <t>TC_005</t>
        </is>
      </c>
      <c r="B13" s="78" t="inlineStr">
        <is>
          <t>Registration</t>
        </is>
      </c>
      <c r="C13" s="72" t="inlineStr">
        <is>
          <t>Registration is rejected when the captcha code is wrong</t>
        </is>
      </c>
      <c r="D13" s="70" t="inlineStr">
        <is>
          <t>Negative</t>
        </is>
      </c>
      <c r="E13" s="71" t="inlineStr">
        <is>
          <t>User is on Register Page.</t>
        </is>
      </c>
      <c r="F13" s="72" t="inlineStr">
        <is>
          <t xml:space="preserve">-When I register with an email address using "&lt;row&gt;" of "&lt;excelSheetName&gt;" of "&lt;excelFileName&gt;"
-Then the registration should be rejected with the message in "&lt;row&gt;" of "&lt;excelSheetName&gt;" of "&lt;excelFileName&gt;"
</t>
        </is>
      </c>
      <c r="G13" s="72" t="inlineStr">
        <is>
          <t>Any valid email or phone number</t>
        </is>
      </c>
      <c r="H13" s="73" t="inlineStr">
        <is>
          <t>User should not be able to register</t>
        </is>
      </c>
      <c r="I13" s="73" t="inlineStr">
        <is>
          <t>User is not registered</t>
        </is>
      </c>
      <c r="J13" s="73" t="inlineStr">
        <is>
          <t>User can not register</t>
        </is>
      </c>
      <c r="K13" s="74" t="inlineStr">
        <is>
          <t>PASS</t>
        </is>
      </c>
      <c r="L13" s="74" t="inlineStr">
        <is>
          <t>HIGH</t>
        </is>
      </c>
      <c r="M13" s="58" t="inlineStr">
        <is>
          <t>KIMA</t>
        </is>
      </c>
      <c r="N13" s="75" t="n"/>
      <c r="O13" s="53" t="inlineStr">
        <is>
          <t>Window OS</t>
        </is>
      </c>
      <c r="P13" s="76" t="inlineStr">
        <is>
          <t>Edge</t>
        </is>
      </c>
      <c r="Q13" s="70" t="n"/>
      <c r="R13" s="70" t="n"/>
      <c r="S13" s="77" t="inlineStr">
        <is>
          <t>Run</t>
        </is>
      </c>
    </row>
    <row r="14" ht="15.75" customHeight="1" s="51">
      <c r="A14" s="67" t="inlineStr">
        <is>
          <t>TC_006</t>
        </is>
      </c>
      <c r="B14" s="78" t="inlineStr">
        <is>
          <t>Registration</t>
        </is>
      </c>
      <c r="C14" s="72" t="inlineStr">
        <is>
          <t>Registration is blocked when the password is shorter than six characters</t>
        </is>
      </c>
      <c r="D14" s="70" t="inlineStr">
        <is>
          <t>Negative</t>
        </is>
      </c>
      <c r="E14" s="71" t="inlineStr">
        <is>
          <t>User is on Register Page.</t>
        </is>
      </c>
      <c r="F14" s="72" t="inlineStr">
        <is>
          <t xml:space="preserve">-When I fill the registration form using "&lt;row&gt;" of "&lt;excelSheetName&gt;" of "&lt;excelFileName&gt;" without submitting it
-Then the browser should reject the "password" field with the message "Must be at least 6 characters alphanumeric!"
</t>
        </is>
      </c>
      <c r="G14" s="72" t="inlineStr">
        <is>
          <t>Any valid email or phone number</t>
        </is>
      </c>
      <c r="H14" s="73" t="inlineStr">
        <is>
          <t>User should not be able to register</t>
        </is>
      </c>
      <c r="I14" s="73" t="inlineStr">
        <is>
          <t>User is not registered</t>
        </is>
      </c>
      <c r="J14" s="73" t="inlineStr">
        <is>
          <t>User can not register</t>
        </is>
      </c>
      <c r="K14" s="74" t="inlineStr">
        <is>
          <t>PASS</t>
        </is>
      </c>
      <c r="L14" s="74" t="inlineStr">
        <is>
          <t>HIGH</t>
        </is>
      </c>
      <c r="M14" s="58" t="inlineStr">
        <is>
          <t>KIMA</t>
        </is>
      </c>
      <c r="N14" s="75" t="n"/>
      <c r="O14" s="53" t="inlineStr">
        <is>
          <t>Window OS</t>
        </is>
      </c>
      <c r="P14" s="76" t="inlineStr">
        <is>
          <t>Edge</t>
        </is>
      </c>
      <c r="Q14" s="70" t="n"/>
      <c r="R14" s="70" t="n"/>
      <c r="S14" s="77" t="inlineStr">
        <is>
          <t>Run</t>
        </is>
      </c>
    </row>
    <row r="15" ht="15.75" customHeight="1" s="51">
      <c r="A15" s="67" t="inlineStr">
        <is>
          <t>TC_007</t>
        </is>
      </c>
      <c r="B15" s="78" t="inlineStr">
        <is>
          <t>Register</t>
        </is>
      </c>
      <c r="C15" s="72" t="inlineStr">
        <is>
          <t>Existing users can navigate to the login page from the registration page</t>
        </is>
      </c>
      <c r="D15" s="70" t="inlineStr">
        <is>
          <t>Positive</t>
        </is>
      </c>
      <c r="E15" s="71" t="inlineStr">
        <is>
          <t>User is on the registration page</t>
        </is>
      </c>
      <c r="F15" s="72" t="inlineStr">
        <is>
          <t>-Given I am on the UMPay "&lt;page&gt;" page
-Then I should be able to go to the login page from the registration page</t>
        </is>
      </c>
      <c r="G15" s="72" t="inlineStr">
        <is>
          <t>No account needed</t>
        </is>
      </c>
      <c r="H15" s="73" t="inlineStr">
        <is>
          <t>The registration page should offer a way back to the login page for somebody who already has an account</t>
        </is>
      </c>
      <c r="I15" s="73" t="inlineStr">
        <is>
          <t>User is on the login page</t>
        </is>
      </c>
      <c r="J15" s="73" t="inlineStr">
        <is>
          <t>The link on the registration page opened the login page</t>
        </is>
      </c>
      <c r="K15" s="74" t="inlineStr">
        <is>
          <t>PASS</t>
        </is>
      </c>
      <c r="L15" s="74" t="inlineStr">
        <is>
          <t>MEDIUM</t>
        </is>
      </c>
      <c r="M15" s="58" t="inlineStr">
        <is>
          <t>KIMA</t>
        </is>
      </c>
      <c r="N15" s="103" t="n">
        <v>46273</v>
      </c>
      <c r="O15" s="53" t="inlineStr">
        <is>
          <t>Window OS</t>
        </is>
      </c>
      <c r="P15" s="76" t="inlineStr">
        <is>
          <t>Chromium</t>
        </is>
      </c>
      <c r="Q15" s="70" t="n"/>
      <c r="R15" s="70" t="n"/>
      <c r="S15" s="77" t="inlineStr">
        <is>
          <t>Run</t>
        </is>
      </c>
    </row>
  </sheetData>
  <autoFilter ref="A8:AA14"/>
  <dataValidations count="7">
    <dataValidation sqref="K9:K15" showDropDown="0" showInputMessage="0" showErrorMessage="1" allowBlank="1" type="list" operator="between">
      <formula1>"PASS,FAIL,PENDING"</formula1>
      <formula2>0</formula2>
    </dataValidation>
    <dataValidation sqref="P9:P15" showDropDown="0" showInputMessage="0" showErrorMessage="1" allowBlank="1" type="list" operator="between">
      <formula1>METADATA!$H$2:$H$8</formula1>
      <formula2>0</formula2>
    </dataValidation>
    <dataValidation sqref="O9:O15" showDropDown="0" showInputMessage="0" showErrorMessage="1" allowBlank="1" type="list" operator="between">
      <formula1>METADATA!$J$2:$J$7</formula1>
      <formula2>0</formula2>
    </dataValidation>
    <dataValidation sqref="D9:D15" showDropDown="0" showInputMessage="0" showErrorMessage="1" allowBlank="1" type="list" operator="between">
      <formula1>METADATA!$N$2:$N$3</formula1>
      <formula2>0</formula2>
    </dataValidation>
    <dataValidation sqref="B4 M9:M15" showDropDown="0" showInputMessage="0" showErrorMessage="1" allowBlank="1" type="list" operator="between">
      <formula1>METADATA!$F$2:$F$4</formula1>
      <formula2>0</formula2>
    </dataValidation>
    <dataValidation sqref="L9:L15" showDropDown="0" showInputMessage="0" showErrorMessage="1" allowBlank="1" type="list" operator="between">
      <formula1>"HIGH,MEDIUM,LOW"</formula1>
      <formula2>0</formula2>
    </dataValidation>
    <dataValidation sqref="B1" showDropDown="0" showInputMessage="0" showErrorMessage="1" allowBlank="1" type="list" operator="between">
      <formula1>"WPAY,UMPay,OFL,UNCS"</formula1>
      <formula2>0</formula2>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B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E26" activeCellId="0" sqref="E26"/>
    </sheetView>
  </sheetViews>
  <sheetFormatPr baseColWidth="8" defaultRowHeight="15.75" zeroHeight="0" outlineLevelRow="0"/>
  <cols>
    <col width="12.63" customWidth="1" style="50" min="1" max="2"/>
    <col width="25.38" customWidth="1" style="50" min="3" max="3"/>
    <col width="12.63" customWidth="1" style="50" min="4" max="4"/>
    <col width="27.88" customWidth="1" style="50" min="5" max="5"/>
    <col width="23.5" customWidth="1" style="50" min="6" max="6"/>
    <col width="12.63" customWidth="1" style="50" min="7"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Reset Password</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46170</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46136</v>
      </c>
      <c r="D6" s="54" t="n"/>
      <c r="H6" s="55" t="n"/>
    </row>
    <row r="7" ht="15.7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Reset Password</t>
        </is>
      </c>
      <c r="C9" s="71" t="inlineStr">
        <is>
          <t>The reset form refuses a phone number that is not a number</t>
        </is>
      </c>
      <c r="D9" s="70" t="inlineStr">
        <is>
          <t>Positive</t>
        </is>
      </c>
      <c r="E9" s="71" t="inlineStr">
        <is>
          <t>-User is on Reset Password Page</t>
        </is>
      </c>
      <c r="F9" s="72" t="inlineStr">
        <is>
          <t>-I am on the UMPay password reset page
-When I fill the phone reset form from "&lt;row&gt;" of "&lt;excelSheetName&gt;" of "&lt;excelFileName&gt;" without sending it
-And I send the reset form
-Then the reset form should complain with the message in "&lt;row&gt;" of "&lt;excelSheetName&gt;" of "&lt;excelFileName&gt;"
-And the reset form should still be shown</t>
        </is>
      </c>
      <c r="G9" s="72" t="inlineStr">
        <is>
          <t>Invalid Phone Number</t>
        </is>
      </c>
      <c r="H9" s="72" t="inlineStr">
        <is>
          <t>User should not be able to reset</t>
        </is>
      </c>
      <c r="I9" s="72" t="inlineStr">
        <is>
          <t>User is still on Reset Password Page.</t>
        </is>
      </c>
      <c r="J9" s="72" t="inlineStr">
        <is>
          <t>User can not reset</t>
        </is>
      </c>
      <c r="K9" s="53" t="inlineStr">
        <is>
          <t>PASS</t>
        </is>
      </c>
      <c r="L9" s="53" t="inlineStr">
        <is>
          <t>HIGH</t>
        </is>
      </c>
      <c r="M9" s="70" t="inlineStr">
        <is>
          <t>KIMA</t>
        </is>
      </c>
      <c r="N9" s="75" t="n">
        <v>46104</v>
      </c>
      <c r="O9" s="53" t="inlineStr">
        <is>
          <t>Window OS</t>
        </is>
      </c>
      <c r="P9" s="76" t="inlineStr">
        <is>
          <t>Edge</t>
        </is>
      </c>
      <c r="Q9" s="70" t="n"/>
      <c r="R9" s="70" t="n"/>
      <c r="S9" s="77" t="inlineStr">
        <is>
          <t>Run</t>
        </is>
      </c>
    </row>
    <row r="10" ht="15.75" customHeight="1" s="51">
      <c r="A10" s="67" t="inlineStr">
        <is>
          <t>TC_002</t>
        </is>
      </c>
      <c r="B10" s="79" t="inlineStr">
        <is>
          <t>Reset Password</t>
        </is>
      </c>
      <c r="C10" s="71" t="inlineStr">
        <is>
          <t>The reset form cannot be sent without a phone number</t>
        </is>
      </c>
      <c r="D10" s="70" t="inlineStr">
        <is>
          <t>Positive</t>
        </is>
      </c>
      <c r="E10" s="71" t="inlineStr">
        <is>
          <t>-User is on Reset Password Page</t>
        </is>
      </c>
      <c r="F10" s="72" t="inlineStr">
        <is>
          <t>-I am on the UMPay password reset page
    When I fill the phone reset form from "&lt;row&gt;" of "&lt;excelSheetName&gt;" of "&lt;excelFileName&gt;" without sending it
    And I send the reset form
    Then the browser should reject the reset "phone" field with the message in "&lt;row&gt;" of "&lt;excelSheetName&gt;" of "&lt;excelFileName&gt;"
    And the reset form should still be shown</t>
        </is>
      </c>
      <c r="G10" s="72" t="inlineStr">
        <is>
          <t>Invalid Phone Number</t>
        </is>
      </c>
      <c r="H10" s="72" t="inlineStr">
        <is>
          <t>User should not be able to reset</t>
        </is>
      </c>
      <c r="I10" s="72" t="inlineStr">
        <is>
          <t>User is still on Reset Password Page.</t>
        </is>
      </c>
      <c r="J10" s="72" t="inlineStr">
        <is>
          <t>User can not reset</t>
        </is>
      </c>
      <c r="K10" s="53" t="inlineStr">
        <is>
          <t>PASS</t>
        </is>
      </c>
      <c r="L10" s="53" t="inlineStr">
        <is>
          <t>HIGH</t>
        </is>
      </c>
      <c r="M10" s="70" t="inlineStr">
        <is>
          <t>KIMA</t>
        </is>
      </c>
      <c r="N10" s="75" t="n">
        <v>46104</v>
      </c>
      <c r="O10" s="53" t="inlineStr">
        <is>
          <t>Window OS</t>
        </is>
      </c>
      <c r="P10" s="76" t="inlineStr">
        <is>
          <t>Edge</t>
        </is>
      </c>
      <c r="Q10" s="70" t="n"/>
      <c r="R10" s="70" t="n"/>
      <c r="S10" s="77" t="inlineStr">
        <is>
          <t>Run</t>
        </is>
      </c>
    </row>
    <row r="11" ht="15.75" customHeight="1" s="51">
      <c r="A11" s="67" t="inlineStr">
        <is>
          <t>TC_003</t>
        </is>
      </c>
      <c r="B11" s="79" t="inlineStr">
        <is>
          <t>Reset Password</t>
        </is>
      </c>
      <c r="C11" s="71" t="inlineStr">
        <is>
          <t>The reset phone box keeps a leading zero</t>
        </is>
      </c>
      <c r="D11" s="70" t="inlineStr">
        <is>
          <t>Positive</t>
        </is>
      </c>
      <c r="E11" s="71" t="inlineStr">
        <is>
          <t>-User is on Reset Password Page</t>
        </is>
      </c>
      <c r="F11" s="72" t="inlineStr">
        <is>
          <t>-I am on the UMPay password reset page
-When I fill the phone reset form from "&lt;row&gt;" of "&lt;excelSheetName&gt;" of "&lt;excelFileName&gt;" without sending it
-Then the reset phone number should be kept as typed in "&lt;row&gt;" of "&lt;excelSheetName&gt;" of "&lt;excelFileName&gt;"</t>
        </is>
      </c>
      <c r="G11" s="72" t="inlineStr">
        <is>
          <t>Valid UNCS Admin credentials.</t>
        </is>
      </c>
      <c r="H11" s="72" t="inlineStr">
        <is>
          <t>User should not be able to reset</t>
        </is>
      </c>
      <c r="I11" s="72" t="inlineStr">
        <is>
          <t>User is still on Reset Password Page.</t>
        </is>
      </c>
      <c r="J11" s="72" t="inlineStr">
        <is>
          <t>User can not reset</t>
        </is>
      </c>
      <c r="K11" s="53" t="inlineStr">
        <is>
          <t>PASS</t>
        </is>
      </c>
      <c r="L11" s="53" t="inlineStr">
        <is>
          <t>HIGH</t>
        </is>
      </c>
      <c r="M11" s="70" t="inlineStr">
        <is>
          <t>KIMA</t>
        </is>
      </c>
      <c r="N11" s="75" t="n">
        <v>46104</v>
      </c>
      <c r="O11" s="53" t="inlineStr">
        <is>
          <t>Window OS</t>
        </is>
      </c>
      <c r="P11" s="76" t="inlineStr">
        <is>
          <t>Edge</t>
        </is>
      </c>
      <c r="Q11" s="70" t="n"/>
      <c r="R11" s="70" t="n"/>
      <c r="S11" s="77" t="inlineStr">
        <is>
          <t>Run</t>
        </is>
      </c>
      <c r="T11" s="54" t="n"/>
      <c r="U11" s="54" t="n"/>
      <c r="V11" s="54" t="n"/>
      <c r="W11" s="54" t="n"/>
      <c r="X11" s="54" t="n"/>
      <c r="Y11" s="54" t="n"/>
      <c r="Z11" s="54" t="n"/>
      <c r="AA11" s="54" t="n"/>
    </row>
    <row r="12" ht="15.75" customHeight="1" s="51">
      <c r="A12" s="67" t="inlineStr">
        <is>
          <t>TC_004</t>
        </is>
      </c>
      <c r="B12" s="79" t="inlineStr">
        <is>
          <t>Reset Password</t>
        </is>
      </c>
      <c r="C12" s="71" t="inlineStr">
        <is>
          <t>The reset form cannot be sent without a captcha</t>
        </is>
      </c>
      <c r="D12" s="70" t="inlineStr">
        <is>
          <t>Positive</t>
        </is>
      </c>
      <c r="E12" s="71" t="inlineStr">
        <is>
          <t>-User is on Reset Password Page</t>
        </is>
      </c>
      <c r="F12" s="72" t="inlineStr">
        <is>
          <t>-I am on the UMPay password reset page
-When I fill the phone reset form from "&lt;row&gt;" of "&lt;excelSheetName&gt;" of "&lt;excelFileName&gt;" without sending it
-And I send the reset form
-Then the browser should reject the reset "captcha" field with the message in "&lt;row&gt;" of "&lt;excelSheetName&gt;" of "&lt;excelFileName&gt;"
-And the reset form should still be shown</t>
        </is>
      </c>
      <c r="G12" s="72" t="inlineStr">
        <is>
          <t>Valid UNCS Admin credentials.</t>
        </is>
      </c>
      <c r="H12" s="72" t="inlineStr">
        <is>
          <t>User should not be able to reset</t>
        </is>
      </c>
      <c r="I12" s="72" t="inlineStr">
        <is>
          <t>User is still on Reset Password Page.</t>
        </is>
      </c>
      <c r="J12" s="72" t="inlineStr">
        <is>
          <t>User can not reset</t>
        </is>
      </c>
      <c r="K12" s="53" t="inlineStr">
        <is>
          <t>PASS</t>
        </is>
      </c>
      <c r="L12" s="53" t="inlineStr">
        <is>
          <t>HIGH</t>
        </is>
      </c>
      <c r="M12" s="70" t="inlineStr">
        <is>
          <t>KIMA</t>
        </is>
      </c>
      <c r="N12" s="75" t="n">
        <v>46104</v>
      </c>
      <c r="O12" s="53" t="inlineStr">
        <is>
          <t>Window OS</t>
        </is>
      </c>
      <c r="P12" s="76" t="inlineStr">
        <is>
          <t>Edge</t>
        </is>
      </c>
      <c r="Q12" s="70" t="n"/>
      <c r="R12" s="70" t="n"/>
      <c r="S12" s="77" t="inlineStr">
        <is>
          <t>Run</t>
        </is>
      </c>
      <c r="T12" s="54" t="n"/>
      <c r="U12" s="54" t="n"/>
      <c r="V12" s="54" t="n"/>
      <c r="W12" s="54" t="n"/>
      <c r="X12" s="54" t="n"/>
      <c r="Y12" s="54" t="n"/>
      <c r="Z12" s="54" t="n"/>
      <c r="AA12" s="54" t="n"/>
    </row>
    <row r="13" ht="15.75" customHeight="1" s="51">
      <c r="A13" s="67" t="inlineStr">
        <is>
          <t>TC_005</t>
        </is>
      </c>
      <c r="B13" s="79" t="inlineStr">
        <is>
          <t>Reset Password</t>
        </is>
      </c>
      <c r="C13" s="71" t="inlineStr">
        <is>
          <t>The email reset form cannot be sent without a captcha either</t>
        </is>
      </c>
      <c r="D13" s="70" t="inlineStr">
        <is>
          <t>Positive</t>
        </is>
      </c>
      <c r="E13" s="71" t="inlineStr">
        <is>
          <t>-User is on Reset Password Page</t>
        </is>
      </c>
      <c r="F13" s="72" t="inlineStr">
        <is>
          <t>-I am on the UMPay password reset page
-When I fill the email reset form from "&lt;row&gt;" of "&lt;excelSheetName&gt;" of "&lt;excelFileName&gt;" without sending it
-And I send the reset form
-Then the browser should reject the reset "captcha" field with the message in "&lt;row&gt;" of "&lt;excelSheetName&gt;" of "&lt;excelFileName&gt;"
-And the reset form should still be shown</t>
        </is>
      </c>
      <c r="G13" s="72" t="inlineStr">
        <is>
          <t>Valid UNCS Admin credentials.</t>
        </is>
      </c>
      <c r="H13" s="72" t="inlineStr">
        <is>
          <t>User should not be able to reset</t>
        </is>
      </c>
      <c r="I13" s="72" t="inlineStr">
        <is>
          <t>User is still on Reset Password Page.</t>
        </is>
      </c>
      <c r="J13" s="72" t="inlineStr">
        <is>
          <t>User can not reset</t>
        </is>
      </c>
      <c r="K13" s="53" t="inlineStr">
        <is>
          <t>PASS</t>
        </is>
      </c>
      <c r="L13" s="53" t="inlineStr">
        <is>
          <t>HIGH</t>
        </is>
      </c>
      <c r="M13" s="70" t="inlineStr">
        <is>
          <t>KIMA</t>
        </is>
      </c>
      <c r="N13" s="75" t="n">
        <v>46104</v>
      </c>
      <c r="O13" s="53" t="inlineStr">
        <is>
          <t>Window OS</t>
        </is>
      </c>
      <c r="P13" s="76" t="inlineStr">
        <is>
          <t>Edge</t>
        </is>
      </c>
      <c r="Q13" s="70" t="n"/>
      <c r="R13" s="70" t="n"/>
      <c r="S13" s="77" t="inlineStr">
        <is>
          <t>Run</t>
        </is>
      </c>
      <c r="T13" s="54" t="n"/>
      <c r="U13" s="54" t="n"/>
      <c r="V13" s="54" t="n"/>
      <c r="W13" s="54" t="n"/>
      <c r="X13" s="54" t="n"/>
      <c r="Y13" s="54" t="n"/>
      <c r="Z13" s="54" t="n"/>
      <c r="AA13" s="54" t="n"/>
    </row>
    <row r="14" ht="15.75" customHeight="1" s="51">
      <c r="A14" s="67" t="inlineStr">
        <is>
          <t>TC_006</t>
        </is>
      </c>
      <c r="B14" s="79" t="inlineStr">
        <is>
          <t>Reset Password</t>
        </is>
      </c>
      <c r="C14" s="71" t="inlineStr">
        <is>
          <t>The reset form refuses an email address that is not a valid address</t>
        </is>
      </c>
      <c r="D14" s="70" t="inlineStr">
        <is>
          <t>Positive</t>
        </is>
      </c>
      <c r="E14" s="71" t="inlineStr">
        <is>
          <t>-User is on Reset Password Page</t>
        </is>
      </c>
      <c r="F14" s="72" t="inlineStr">
        <is>
          <t>-I am on the UMPay password reset page
-When I fill the email reset form from "&lt;row&gt;" of "&lt;excelSheetName&gt;" of "&lt;excelFileName&gt;" without sending it
-And I send the reset form
-Then the browser should reject the reset "email" field with the message in "&lt;row&gt;" of "&lt;excelSheetName&gt;" of "&lt;excelFileName&gt;"
-And the reset form should still be shown</t>
        </is>
      </c>
      <c r="G14" s="72" t="inlineStr">
        <is>
          <t>Valid UNCS Admin credentials.</t>
        </is>
      </c>
      <c r="H14" s="72" t="inlineStr">
        <is>
          <t>User should not be able to reset</t>
        </is>
      </c>
      <c r="I14" s="72" t="inlineStr">
        <is>
          <t>User is still on Reset Password Page.</t>
        </is>
      </c>
      <c r="J14" s="72" t="inlineStr">
        <is>
          <t>User can not reset</t>
        </is>
      </c>
      <c r="K14" s="53" t="inlineStr">
        <is>
          <t>PASS</t>
        </is>
      </c>
      <c r="L14" s="53" t="inlineStr">
        <is>
          <t>HIGH</t>
        </is>
      </c>
      <c r="M14" s="70" t="inlineStr">
        <is>
          <t>KIMA</t>
        </is>
      </c>
      <c r="N14" s="75" t="n">
        <v>46104</v>
      </c>
      <c r="O14" s="53" t="inlineStr">
        <is>
          <t>Window OS</t>
        </is>
      </c>
      <c r="P14" s="76" t="inlineStr">
        <is>
          <t>Edge</t>
        </is>
      </c>
      <c r="Q14" s="70" t="n"/>
      <c r="R14" s="70" t="n"/>
      <c r="S14" s="77" t="inlineStr">
        <is>
          <t>Run</t>
        </is>
      </c>
      <c r="T14" s="54" t="n"/>
      <c r="U14" s="54" t="n"/>
      <c r="V14" s="54" t="n"/>
      <c r="W14" s="54" t="n"/>
      <c r="X14" s="54" t="n"/>
      <c r="Y14" s="54" t="n"/>
      <c r="Z14" s="54" t="n"/>
      <c r="AA14" s="54" t="n"/>
    </row>
    <row r="15" ht="15.75" customHeight="1" s="51">
      <c r="A15" s="67" t="inlineStr">
        <is>
          <t>TC_007</t>
        </is>
      </c>
      <c r="B15" s="79" t="inlineStr">
        <is>
          <t>Reset Password</t>
        </is>
      </c>
      <c r="C15" s="71" t="inlineStr">
        <is>
          <t>A new captcha can be asked for on the phone reset form</t>
        </is>
      </c>
      <c r="D15" s="70" t="inlineStr">
        <is>
          <t>Positive</t>
        </is>
      </c>
      <c r="E15" s="71" t="inlineStr">
        <is>
          <t>-User is on Reset Password Page</t>
        </is>
      </c>
      <c r="F15" s="72" t="inlineStr">
        <is>
          <t>-I am on the UMPay password reset page
-When I ask the reset form for a new captcha
-Then a different captcha image should be shown</t>
        </is>
      </c>
      <c r="G15" s="72" t="inlineStr">
        <is>
          <t>Valid UNCS Admin credentials.</t>
        </is>
      </c>
      <c r="H15" s="72" t="inlineStr">
        <is>
          <t>User should not be able to reset</t>
        </is>
      </c>
      <c r="I15" s="72" t="inlineStr">
        <is>
          <t>User is still on Reset Password Page.</t>
        </is>
      </c>
      <c r="J15" s="72" t="inlineStr">
        <is>
          <t>User can not reset</t>
        </is>
      </c>
      <c r="K15" s="53" t="inlineStr">
        <is>
          <t>PASS</t>
        </is>
      </c>
      <c r="L15" s="53" t="inlineStr">
        <is>
          <t>HIGH</t>
        </is>
      </c>
      <c r="M15" s="70" t="inlineStr">
        <is>
          <t>KIMA</t>
        </is>
      </c>
      <c r="N15" s="75" t="n">
        <v>46104</v>
      </c>
      <c r="O15" s="53" t="inlineStr">
        <is>
          <t>Window OS</t>
        </is>
      </c>
      <c r="P15" s="76" t="inlineStr">
        <is>
          <t>Edge</t>
        </is>
      </c>
      <c r="Q15" s="70" t="n"/>
      <c r="R15" s="70" t="n"/>
      <c r="S15" s="77" t="inlineStr">
        <is>
          <t>Run</t>
        </is>
      </c>
      <c r="T15" s="54" t="n"/>
      <c r="U15" s="54" t="n"/>
      <c r="V15" s="54" t="n"/>
      <c r="W15" s="54" t="n"/>
      <c r="X15" s="54" t="n"/>
      <c r="Y15" s="54" t="n"/>
      <c r="Z15" s="54" t="n"/>
      <c r="AA15" s="54" t="n"/>
    </row>
    <row r="16" ht="15.75" customHeight="1" s="51">
      <c r="A16" s="67" t="inlineStr">
        <is>
          <t>TC_008</t>
        </is>
      </c>
      <c r="B16" s="79" t="inlineStr">
        <is>
          <t>Reset Password</t>
        </is>
      </c>
      <c r="C16" s="71" t="inlineStr">
        <is>
          <t>A new captcha can be asked for on the email reset form</t>
        </is>
      </c>
      <c r="D16" s="70" t="inlineStr">
        <is>
          <t>Positive</t>
        </is>
      </c>
      <c r="E16" s="71" t="inlineStr">
        <is>
          <t>-User is on Reset Password Page</t>
        </is>
      </c>
      <c r="F16" s="72" t="inlineStr">
        <is>
          <t>-I am on the UMPay password reset page
-When I fill the email reset form from "&lt;row&gt;" of "&lt;excelSheetName&gt;" of "&lt;excelFileName&gt;" without sending it
-And I ask the reset form for a new captcha
-Then a different captcha image should be shown</t>
        </is>
      </c>
      <c r="G16" s="72" t="inlineStr">
        <is>
          <t>Valid UNCS Admin credentials.</t>
        </is>
      </c>
      <c r="H16" s="72" t="inlineStr">
        <is>
          <t>User should not be able to reset</t>
        </is>
      </c>
      <c r="I16" s="72" t="inlineStr">
        <is>
          <t>User is still on Reset Password Page.</t>
        </is>
      </c>
      <c r="J16" s="72" t="inlineStr">
        <is>
          <t>User can not reset</t>
        </is>
      </c>
      <c r="K16" s="53" t="inlineStr">
        <is>
          <t>PASS</t>
        </is>
      </c>
      <c r="L16" s="53" t="inlineStr">
        <is>
          <t>HIGH</t>
        </is>
      </c>
      <c r="M16" s="70" t="inlineStr">
        <is>
          <t>KIMA</t>
        </is>
      </c>
      <c r="N16" s="75" t="n">
        <v>46104</v>
      </c>
      <c r="O16" s="53" t="inlineStr">
        <is>
          <t>Window OS</t>
        </is>
      </c>
      <c r="P16" s="76" t="inlineStr">
        <is>
          <t>Edge</t>
        </is>
      </c>
      <c r="Q16" s="70" t="n"/>
      <c r="R16" s="70" t="n"/>
      <c r="S16" s="77" t="inlineStr">
        <is>
          <t>Run</t>
        </is>
      </c>
      <c r="T16" s="54" t="n"/>
      <c r="U16" s="54" t="n"/>
      <c r="V16" s="54" t="n"/>
      <c r="W16" s="54" t="n"/>
      <c r="X16" s="54" t="n"/>
      <c r="Y16" s="54" t="n"/>
      <c r="Z16" s="54" t="n"/>
      <c r="AA16" s="54" t="n"/>
    </row>
    <row r="17" ht="15.75" customHeight="1" s="51">
      <c r="A17" s="67" t="inlineStr">
        <is>
          <t>TC_009</t>
        </is>
      </c>
      <c r="B17" s="79" t="inlineStr">
        <is>
          <t>Reset Password</t>
        </is>
      </c>
      <c r="C17" s="71" t="inlineStr">
        <is>
          <t>A wrong captcha is refused on the phone reset form</t>
        </is>
      </c>
      <c r="D17" s="70" t="inlineStr">
        <is>
          <t>Negative</t>
        </is>
      </c>
      <c r="E17" s="71" t="inlineStr">
        <is>
          <t>-User is on Reset Password Page</t>
        </is>
      </c>
      <c r="F17" s="72" t="inlineStr">
        <is>
          <t>-I am on the UMPay password reset page
-When I ask to reset the password by phone using "&lt;row&gt;" of "&lt;excelSheetName&gt;" of "&lt;excelFileName&gt;"
-Then the reset should be refused with the message in "&lt;row&gt;" of "&lt;excelSheetName&gt;" of "&lt;excelFileName&gt;"
-And the reset form should still be shown</t>
        </is>
      </c>
      <c r="G17" s="72" t="inlineStr">
        <is>
          <t>Valid UNCS Admin credentials.</t>
        </is>
      </c>
      <c r="H17" s="72" t="inlineStr">
        <is>
          <t>User should not be able to reset</t>
        </is>
      </c>
      <c r="I17" s="72" t="inlineStr">
        <is>
          <t>User is still on Reset Password Page.</t>
        </is>
      </c>
      <c r="J17" s="72" t="inlineStr">
        <is>
          <t>User can not reset</t>
        </is>
      </c>
      <c r="K17" s="53" t="inlineStr">
        <is>
          <t>PASS</t>
        </is>
      </c>
      <c r="L17" s="53" t="inlineStr">
        <is>
          <t>HIGH</t>
        </is>
      </c>
      <c r="M17" s="70" t="inlineStr">
        <is>
          <t>KIMA</t>
        </is>
      </c>
      <c r="N17" s="75" t="n">
        <v>46104</v>
      </c>
      <c r="O17" s="53" t="inlineStr">
        <is>
          <t>Window OS</t>
        </is>
      </c>
      <c r="P17" s="76" t="inlineStr">
        <is>
          <t>Edge</t>
        </is>
      </c>
      <c r="Q17" s="70" t="n"/>
      <c r="R17" s="70" t="n"/>
      <c r="S17" s="77" t="inlineStr">
        <is>
          <t>Run</t>
        </is>
      </c>
      <c r="T17" s="54" t="n"/>
      <c r="U17" s="54" t="n"/>
      <c r="V17" s="54" t="n"/>
      <c r="W17" s="54" t="n"/>
      <c r="X17" s="54" t="n"/>
      <c r="Y17" s="54" t="n"/>
      <c r="Z17" s="54" t="n"/>
      <c r="AA17" s="54" t="n"/>
    </row>
    <row r="18" ht="15.75" customHeight="1" s="51">
      <c r="A18" s="67" t="inlineStr">
        <is>
          <t>TC_010</t>
        </is>
      </c>
      <c r="B18" s="79" t="inlineStr">
        <is>
          <t>Reset Password</t>
        </is>
      </c>
      <c r="C18" s="71" t="inlineStr">
        <is>
          <t>A wrong captcha is refused on the email reset form</t>
        </is>
      </c>
      <c r="D18" s="70" t="inlineStr">
        <is>
          <t>Negative</t>
        </is>
      </c>
      <c r="E18" s="71" t="inlineStr">
        <is>
          <t>-User is on Reset Password Page</t>
        </is>
      </c>
      <c r="F18" s="72" t="inlineStr">
        <is>
          <t>-I am on the UMPay password reset page
-When I ask to reset the password by email using "&lt;row&gt;" of "&lt;excelSheetName&gt;" of "&lt;excelFileName&gt;"
-Then the reset should be refused with the message in "&lt;row&gt;" of "&lt;excelSheetName&gt;" of "&lt;excelFileName&gt;"
-And the reset form should still be shown</t>
        </is>
      </c>
      <c r="G18" s="72" t="inlineStr">
        <is>
          <t>Valid UNCS Admin credentials.</t>
        </is>
      </c>
      <c r="H18" s="72" t="inlineStr">
        <is>
          <t>User should not be able to reset</t>
        </is>
      </c>
      <c r="I18" s="72" t="inlineStr">
        <is>
          <t>User is still on Reset Password Page.</t>
        </is>
      </c>
      <c r="J18" s="72" t="inlineStr">
        <is>
          <t>User can not reset</t>
        </is>
      </c>
      <c r="K18" s="53" t="inlineStr">
        <is>
          <t>PASS</t>
        </is>
      </c>
      <c r="L18" s="53" t="inlineStr">
        <is>
          <t>HIGH</t>
        </is>
      </c>
      <c r="M18" s="70" t="inlineStr">
        <is>
          <t>KIMA</t>
        </is>
      </c>
      <c r="N18" s="75" t="n">
        <v>46104</v>
      </c>
      <c r="O18" s="53" t="inlineStr">
        <is>
          <t>Window OS</t>
        </is>
      </c>
      <c r="P18" s="76" t="inlineStr">
        <is>
          <t>Edge</t>
        </is>
      </c>
      <c r="Q18" s="70" t="n"/>
      <c r="R18" s="70" t="n"/>
      <c r="S18" s="77" t="inlineStr">
        <is>
          <t>Run</t>
        </is>
      </c>
      <c r="T18" s="54" t="n"/>
      <c r="U18" s="54" t="n"/>
      <c r="V18" s="54" t="n"/>
      <c r="W18" s="54" t="n"/>
      <c r="X18" s="54" t="n"/>
      <c r="Y18" s="54" t="n"/>
      <c r="Z18" s="54" t="n"/>
      <c r="AA18" s="54" t="n"/>
    </row>
    <row r="19" ht="15.75" customHeight="1" s="51">
      <c r="A19" s="67" t="inlineStr">
        <is>
          <t>TC_011</t>
        </is>
      </c>
      <c r="B19" s="79" t="inlineStr">
        <is>
          <t>Reset Password</t>
        </is>
      </c>
      <c r="C19" s="71" t="inlineStr">
        <is>
          <t>A phone number shorter than six digits gets no reset</t>
        </is>
      </c>
      <c r="D19" s="70" t="inlineStr">
        <is>
          <t>Negative</t>
        </is>
      </c>
      <c r="E19" s="71" t="inlineStr">
        <is>
          <t>-User is on Reset Password Page</t>
        </is>
      </c>
      <c r="F19" s="72" t="inlineStr">
        <is>
          <t>-I am on the UMPay password reset page
-When I ask to reset the password by phone using "&lt;row&gt;" of "&lt;excelSheetName&gt;" of "&lt;excelFileName&gt;"
-Then the reset should be refused with the message in "&lt;row&gt;" of "&lt;excelSheetName&gt;" of "&lt;excelFileName&gt;"
-And the reset form should still be shown</t>
        </is>
      </c>
      <c r="G19" s="72" t="inlineStr">
        <is>
          <t>Valid UNCS Admin credentials.</t>
        </is>
      </c>
      <c r="H19" s="72" t="inlineStr">
        <is>
          <t>User should not be able to reset</t>
        </is>
      </c>
      <c r="I19" s="72" t="inlineStr">
        <is>
          <t>User is still on Reset Password Page.</t>
        </is>
      </c>
      <c r="J19" s="72" t="inlineStr">
        <is>
          <t>User can not reset</t>
        </is>
      </c>
      <c r="K19" s="53" t="inlineStr">
        <is>
          <t>PASS</t>
        </is>
      </c>
      <c r="L19" s="53" t="inlineStr">
        <is>
          <t>HIGH</t>
        </is>
      </c>
      <c r="M19" s="70" t="inlineStr">
        <is>
          <t>KIMA</t>
        </is>
      </c>
      <c r="N19" s="75" t="n">
        <v>46104</v>
      </c>
      <c r="O19" s="53" t="inlineStr">
        <is>
          <t>Window OS</t>
        </is>
      </c>
      <c r="P19" s="76" t="inlineStr">
        <is>
          <t>Edge</t>
        </is>
      </c>
      <c r="Q19" s="70" t="n"/>
      <c r="R19" s="70" t="n"/>
      <c r="S19" s="77" t="inlineStr">
        <is>
          <t>Run</t>
        </is>
      </c>
      <c r="T19" s="54" t="n"/>
      <c r="U19" s="54" t="n"/>
      <c r="V19" s="54" t="n"/>
      <c r="W19" s="54" t="n"/>
      <c r="X19" s="54" t="n"/>
      <c r="Y19" s="54" t="n"/>
      <c r="Z19" s="54" t="n"/>
      <c r="AA19" s="54" t="n"/>
    </row>
    <row r="20" ht="15.75" customHeight="1" s="51">
      <c r="A20" s="67" t="inlineStr">
        <is>
          <t>TC_012</t>
        </is>
      </c>
      <c r="B20" s="79" t="inlineStr">
        <is>
          <t>Reset Password</t>
        </is>
      </c>
      <c r="C20" s="71" t="inlineStr">
        <is>
          <t>A phone number nobody holds learns nothing about itself</t>
        </is>
      </c>
      <c r="D20" s="70" t="inlineStr">
        <is>
          <t>Negative</t>
        </is>
      </c>
      <c r="E20" s="71" t="inlineStr">
        <is>
          <t>-User is on Reset Password Page</t>
        </is>
      </c>
      <c r="F20" s="72" t="inlineStr">
        <is>
          <t>-I am on the UMPay password reset page
-When I ask to reset the password by phone using "&lt;row&gt;" of "&lt;excelSheetName&gt;" of "&lt;excelFileName&gt;"
-Then the verification step should be reached</t>
        </is>
      </c>
      <c r="G20" s="72" t="inlineStr">
        <is>
          <t>Valid UNCS Admin credentials.</t>
        </is>
      </c>
      <c r="H20" s="72" t="inlineStr">
        <is>
          <t>User should not be able to reset</t>
        </is>
      </c>
      <c r="I20" s="72" t="inlineStr">
        <is>
          <t>User is still on Reset Password Page.</t>
        </is>
      </c>
      <c r="J20" s="72" t="inlineStr">
        <is>
          <t>User can not reset</t>
        </is>
      </c>
      <c r="K20" s="53" t="inlineStr">
        <is>
          <t>PASS</t>
        </is>
      </c>
      <c r="L20" s="53" t="inlineStr">
        <is>
          <t>HIGH</t>
        </is>
      </c>
      <c r="M20" s="70" t="inlineStr">
        <is>
          <t>KIMA</t>
        </is>
      </c>
      <c r="N20" s="75" t="n">
        <v>46104</v>
      </c>
      <c r="O20" s="53" t="inlineStr">
        <is>
          <t>Window OS</t>
        </is>
      </c>
      <c r="P20" s="76" t="inlineStr">
        <is>
          <t>Edge</t>
        </is>
      </c>
      <c r="Q20" s="70" t="n"/>
      <c r="R20" s="70" t="n"/>
      <c r="S20" s="77" t="inlineStr">
        <is>
          <t>Run</t>
        </is>
      </c>
      <c r="T20" s="54" t="n"/>
      <c r="U20" s="54" t="n"/>
      <c r="V20" s="54" t="n"/>
      <c r="W20" s="54" t="n"/>
      <c r="X20" s="54" t="n"/>
      <c r="Y20" s="54" t="n"/>
      <c r="Z20" s="54" t="n"/>
      <c r="AA20" s="54" t="n"/>
    </row>
    <row r="21" ht="49.35" customHeight="1" s="51">
      <c r="A21" s="67" t="inlineStr">
        <is>
          <t>TC_013</t>
        </is>
      </c>
      <c r="B21" s="79" t="inlineStr">
        <is>
          <t>Reset Password</t>
        </is>
      </c>
      <c r="C21" s="71" t="inlineStr">
        <is>
          <t>An email address nobody holds learns nothing about itself</t>
        </is>
      </c>
      <c r="D21" s="70" t="inlineStr">
        <is>
          <t>Negative</t>
        </is>
      </c>
      <c r="E21" s="71" t="inlineStr">
        <is>
          <t>-User is on Reset Password Page</t>
        </is>
      </c>
      <c r="F21" s="72" t="inlineStr">
        <is>
          <t>-I am on the UMPay password reset page
-When I ask to reset the password by email using "&lt;row&gt;" of "&lt;excelSheetName&gt;" of "&lt;excelFileName&gt;"
-Then the verification step should be reached</t>
        </is>
      </c>
      <c r="G21" s="72" t="inlineStr">
        <is>
          <t>Valid UNCS Admin credentials.</t>
        </is>
      </c>
      <c r="H21" s="72" t="inlineStr">
        <is>
          <t>User should not be able to reset</t>
        </is>
      </c>
      <c r="I21" s="72" t="inlineStr">
        <is>
          <t>User is still on Reset Password Page.</t>
        </is>
      </c>
      <c r="J21" s="72" t="inlineStr">
        <is>
          <t>User can not reset</t>
        </is>
      </c>
      <c r="K21" s="53" t="inlineStr">
        <is>
          <t>PASS</t>
        </is>
      </c>
      <c r="L21" s="53" t="inlineStr">
        <is>
          <t>HIGH</t>
        </is>
      </c>
      <c r="M21" s="70" t="inlineStr">
        <is>
          <t>KIMA</t>
        </is>
      </c>
      <c r="N21" s="75" t="n">
        <v>46104</v>
      </c>
      <c r="O21" s="53" t="inlineStr">
        <is>
          <t>Window OS</t>
        </is>
      </c>
      <c r="P21" s="76" t="inlineStr">
        <is>
          <t>Edge</t>
        </is>
      </c>
      <c r="Q21" s="70" t="n"/>
      <c r="R21" s="70" t="n"/>
      <c r="S21" s="77" t="inlineStr">
        <is>
          <t>Run</t>
        </is>
      </c>
      <c r="T21" s="54" t="n"/>
      <c r="U21" s="54" t="n"/>
      <c r="V21" s="54" t="n"/>
      <c r="W21" s="54" t="n"/>
      <c r="X21" s="54" t="n"/>
      <c r="Y21" s="54" t="n"/>
      <c r="Z21" s="54" t="n"/>
      <c r="AA21" s="54" t="n"/>
    </row>
    <row r="22" ht="15.75" customHeight="1" s="51">
      <c r="A22" s="67" t="inlineStr">
        <is>
          <t>TC_014</t>
        </is>
      </c>
      <c r="B22" s="79" t="inlineStr">
        <is>
          <t>Reset Password</t>
        </is>
      </c>
      <c r="C22" s="71" t="inlineStr">
        <is>
          <t>A registered phone number is sent a code and asked to verify</t>
        </is>
      </c>
      <c r="D22" s="70" t="inlineStr">
        <is>
          <t>Positive</t>
        </is>
      </c>
      <c r="E22" s="71" t="inlineStr">
        <is>
          <t>-User is on Reset Password Page</t>
        </is>
      </c>
      <c r="F22" s="72" t="inlineStr">
        <is>
          <t>-I am on the UMPay password reset page
-When I ask to reset the password for the phone number in "&lt;row&gt;" of "&lt;excelSheetName&gt;" of "&lt;excelFileName&gt;"
-Then the verification step should be reached
-And no new password should be set</t>
        </is>
      </c>
      <c r="G22" s="72" t="inlineStr">
        <is>
          <t>Valid UNCS Admin credentials.</t>
        </is>
      </c>
      <c r="H22" s="72" t="inlineStr">
        <is>
          <t>User should not be able to reset</t>
        </is>
      </c>
      <c r="I22" s="72" t="inlineStr">
        <is>
          <t>User is still on Reset Password Page.</t>
        </is>
      </c>
      <c r="J22" s="72" t="inlineStr">
        <is>
          <t>User can not reset</t>
        </is>
      </c>
      <c r="K22" s="53" t="inlineStr">
        <is>
          <t>PASS</t>
        </is>
      </c>
      <c r="L22" s="53" t="inlineStr">
        <is>
          <t>HIGH</t>
        </is>
      </c>
      <c r="M22" s="70" t="inlineStr">
        <is>
          <t>KIMA</t>
        </is>
      </c>
      <c r="N22" s="75" t="n">
        <v>46104</v>
      </c>
      <c r="O22" s="53" t="inlineStr">
        <is>
          <t>Window OS</t>
        </is>
      </c>
      <c r="P22" s="76" t="inlineStr">
        <is>
          <t>Edge</t>
        </is>
      </c>
      <c r="Q22" s="70" t="n"/>
      <c r="R22" s="70" t="n"/>
      <c r="S22" s="77" t="inlineStr">
        <is>
          <t>Run</t>
        </is>
      </c>
      <c r="T22" s="54" t="n"/>
      <c r="U22" s="54" t="n"/>
      <c r="V22" s="54" t="n"/>
      <c r="W22" s="54" t="n"/>
      <c r="X22" s="54" t="n"/>
      <c r="Y22" s="54" t="n"/>
      <c r="Z22" s="54" t="n"/>
      <c r="AA22" s="54" t="n"/>
    </row>
    <row r="23" ht="15.75" customHeight="1" s="51">
      <c r="A23" s="67" t="inlineStr">
        <is>
          <t>TC_015</t>
        </is>
      </c>
      <c r="B23" s="79" t="inlineStr">
        <is>
          <t>Reset Password</t>
        </is>
      </c>
      <c r="C23" s="71" t="inlineStr">
        <is>
          <t>A registered email address is sent a code that actually arrives</t>
        </is>
      </c>
      <c r="D23" s="70" t="inlineStr">
        <is>
          <t>Positive</t>
        </is>
      </c>
      <c r="E23" s="71" t="inlineStr">
        <is>
          <t>-User is on Reset Password Page</t>
        </is>
      </c>
      <c r="F23" s="72" t="inlineStr">
        <is>
          <t>-II am on the UMPay password reset page
-When I note where the mailbox has got to
-And I ask to reset the password by email using "&lt;row&gt;" of "&lt;excelSheetName&gt;" of "&lt;excelFileName&gt;"
-Then the verification step should be reached
-And the verification step should offer to send the code again
-And a verification code should arrive for the address in "&lt;row&gt;" of "&lt;excelSheetName&gt;" of "&lt;excelFileName&gt;"
-And no new password should be set</t>
        </is>
      </c>
      <c r="G23" s="72" t="inlineStr">
        <is>
          <t>Valid UNCS Admin credentials.</t>
        </is>
      </c>
      <c r="H23" s="72" t="inlineStr">
        <is>
          <t>User should not be able to reset</t>
        </is>
      </c>
      <c r="I23" s="72" t="inlineStr">
        <is>
          <t>User is still on Reset Password Page.</t>
        </is>
      </c>
      <c r="J23" s="72" t="inlineStr">
        <is>
          <t>User can not reset</t>
        </is>
      </c>
      <c r="K23" s="53" t="inlineStr">
        <is>
          <t>PASS</t>
        </is>
      </c>
      <c r="L23" s="53" t="inlineStr">
        <is>
          <t>HIGH</t>
        </is>
      </c>
      <c r="M23" s="70" t="inlineStr">
        <is>
          <t>KIMA</t>
        </is>
      </c>
      <c r="N23" s="75" t="n">
        <v>46104</v>
      </c>
      <c r="O23" s="53" t="inlineStr">
        <is>
          <t>Window OS</t>
        </is>
      </c>
      <c r="P23" s="76" t="inlineStr">
        <is>
          <t>Edge</t>
        </is>
      </c>
      <c r="Q23" s="70" t="n"/>
      <c r="R23" s="70" t="n"/>
      <c r="S23" s="77" t="inlineStr">
        <is>
          <t>Run</t>
        </is>
      </c>
      <c r="T23" s="54" t="n"/>
      <c r="U23" s="54" t="n"/>
      <c r="V23" s="54" t="n"/>
      <c r="W23" s="54" t="n"/>
      <c r="X23" s="54" t="n"/>
      <c r="Y23" s="54" t="n"/>
      <c r="Z23" s="54" t="n"/>
      <c r="AA23" s="54" t="n"/>
    </row>
    <row r="24" ht="15.75" customHeight="1" s="51">
      <c r="A24" s="67" t="inlineStr">
        <is>
          <t>TC_016</t>
        </is>
      </c>
      <c r="B24" s="79" t="inlineStr">
        <is>
          <t>Reset Password</t>
        </is>
      </c>
      <c r="C24" s="71" t="inlineStr">
        <is>
          <t>Going back from the verification step should return to the form</t>
        </is>
      </c>
      <c r="D24" s="70" t="inlineStr">
        <is>
          <t>Negative</t>
        </is>
      </c>
      <c r="E24" s="71" t="inlineStr">
        <is>
          <t>User is on the password reset page</t>
        </is>
      </c>
      <c r="F24" s="72" t="inlineStr">
        <is>
          <t>-Given I am on the UMPay password reset page
-When I ask to reset the password by email using "&lt;row&gt;" of "&lt;excelSheetName&gt;" of "&lt;excelFileName&gt;"
-Then the verification step should be reached
-When I go back from the verification step
-Then the reset form should be shown again</t>
        </is>
      </c>
      <c r="G24" s="72" t="inlineStr">
        <is>
          <t>Email: the registered address</t>
        </is>
      </c>
      <c r="H24" s="72" t="inlineStr">
        <is>
          <t>Going back from the verification step should return to the reset form rather than stranding somebody who mistyped their address</t>
        </is>
      </c>
      <c r="I24" s="72" t="inlineStr">
        <is>
          <t>User is on the reset form</t>
        </is>
      </c>
      <c r="J24" s="72" t="inlineStr">
        <is>
          <t>COULD NOT BE RUN - the platform answered the one-time-code request with 400 "Too Many Requests" (POST /api/notification/otp), so the verification step was never reached and going back from it could not be tried. This says nothing about the application either way; the account has simply asked for too many codes today. To be re-run once the limit clears</t>
        </is>
      </c>
      <c r="K24" s="53" t="inlineStr">
        <is>
          <t>PENDING</t>
        </is>
      </c>
      <c r="L24" s="53" t="inlineStr">
        <is>
          <t>MEDIUM</t>
        </is>
      </c>
      <c r="M24" s="70" t="inlineStr">
        <is>
          <t>KIMA</t>
        </is>
      </c>
      <c r="N24" s="103" t="n">
        <v>46273</v>
      </c>
      <c r="O24" s="53" t="inlineStr">
        <is>
          <t>Window OS</t>
        </is>
      </c>
      <c r="P24" s="76" t="inlineStr">
        <is>
          <t>Chromium</t>
        </is>
      </c>
      <c r="Q24" s="70" t="n"/>
      <c r="R24" s="70" t="n"/>
      <c r="S24" s="77" t="inlineStr">
        <is>
          <t>Run</t>
        </is>
      </c>
    </row>
    <row r="1048576" ht="12.8" customHeight="1" s="51"/>
  </sheetData>
  <autoFilter ref="A8:AA23"/>
  <dataValidations count="7">
    <dataValidation sqref="K9:K24" showDropDown="0" showInputMessage="0" showErrorMessage="1" allowBlank="1" type="list" operator="between">
      <formula1>"PASS,FAIL,PENDING"</formula1>
      <formula2>0</formula2>
    </dataValidation>
    <dataValidation sqref="P9:P24" showDropDown="0" showInputMessage="0" showErrorMessage="1" allowBlank="1" type="list" operator="between">
      <formula1>METADATA!$H$2:$H$8</formula1>
      <formula2>0</formula2>
    </dataValidation>
    <dataValidation sqref="O9:O24" showDropDown="0" showInputMessage="0" showErrorMessage="1" allowBlank="1" type="list" operator="between">
      <formula1>METADATA!$J$2:$J$7</formula1>
      <formula2>0</formula2>
    </dataValidation>
    <dataValidation sqref="D9:D24" showDropDown="0" showInputMessage="0" showErrorMessage="1" allowBlank="1" type="list" operator="between">
      <formula1>METADATA!$N$2:$N$3</formula1>
      <formula2>0</formula2>
    </dataValidation>
    <dataValidation sqref="B4 M9:M24" showDropDown="0" showInputMessage="0" showErrorMessage="1" allowBlank="1" type="list" operator="between">
      <formula1>METADATA!$F$2:$F$4</formula1>
      <formula2>0</formula2>
    </dataValidation>
    <dataValidation sqref="L9:L24" showDropDown="0" showInputMessage="0" showErrorMessage="1" allowBlank="1" type="list" operator="between">
      <formula1>"HIGH,MEDIUM,LOW"</formula1>
      <formula2>0</formula2>
    </dataValidation>
    <dataValidation sqref="B1" showDropDown="0" showInputMessage="0" showErrorMessage="1" allowBlank="1" type="list" operator="between">
      <formula1>"WPAY,UMPay,OFL,UNCS"</formula1>
      <formula2>0</formula2>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 xmlns:r="http://schemas.openxmlformats.org/officeDocument/2006/relationships" ref="S20" r:id="rId12"/>
    <hyperlink xmlns:r="http://schemas.openxmlformats.org/officeDocument/2006/relationships" ref="S21" r:id="rId13"/>
    <hyperlink xmlns:r="http://schemas.openxmlformats.org/officeDocument/2006/relationships" ref="S22" r:id="rId14"/>
    <hyperlink xmlns:r="http://schemas.openxmlformats.org/officeDocument/2006/relationships" ref="S23" r:id="rId15"/>
    <hyperlink xmlns:r="http://schemas.openxmlformats.org/officeDocument/2006/relationships" ref="S24" r:id="rId16"/>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T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RowHeight="15.75" zeroHeight="0" outlineLevelRow="0"/>
  <cols>
    <col width="12.63" customWidth="1" style="50" min="1" max="2"/>
    <col width="23.75" customWidth="1" style="50" min="3" max="3"/>
    <col width="12.63" customWidth="1" style="50" min="4" max="5"/>
    <col width="20.13" customWidth="1" style="50" min="6" max="6"/>
    <col width="12.63" customWidth="1" style="50" min="7" max="7"/>
    <col width="15.27" customWidth="1" style="50" min="8" max="8"/>
    <col width="14.88" customWidth="1" style="50" min="9" max="9"/>
    <col width="12.63" customWidth="1" style="50" min="10"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Deposit</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46170</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46170</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Deposit</t>
        </is>
      </c>
      <c r="C9" s="72" t="inlineStr">
        <is>
          <t>Successful Deposit Transaction</t>
        </is>
      </c>
      <c r="D9" s="70" t="inlineStr">
        <is>
          <t>Positive</t>
        </is>
      </c>
      <c r="E9" s="71" t="inlineStr">
        <is>
          <t>User is on Deposit page</t>
        </is>
      </c>
      <c r="F9" s="72" t="inlineStr">
        <is>
          <t xml:space="preserve">-Given I log into the UMPay application with valid email credentials using "&lt;row&gt;" of "&lt;excelSheetName&gt;" of "&lt;excelFileName&gt;"
-When I navigate to Deposit page
-Then I should be able to initiate a deposit transaction using "&lt;row&gt;" of "&lt;excelSheetName&gt;" of "&lt;excelFileName&gt;"
</t>
        </is>
      </c>
      <c r="G9" s="72" t="inlineStr">
        <is>
          <t>Valid UMPay credentials</t>
        </is>
      </c>
      <c r="H9" s="73" t="inlineStr">
        <is>
          <t>User should be able to perform deposit successfully</t>
        </is>
      </c>
      <c r="I9" s="73" t="inlineStr">
        <is>
          <t>User is navigated back to home screen</t>
        </is>
      </c>
      <c r="J9" s="73" t="inlineStr">
        <is>
          <t>User can perform deposit successfully</t>
        </is>
      </c>
      <c r="K9" s="53" t="inlineStr">
        <is>
          <t>PASS</t>
        </is>
      </c>
      <c r="L9" s="53" t="inlineStr">
        <is>
          <t>HIGH</t>
        </is>
      </c>
      <c r="M9" s="70" t="inlineStr">
        <is>
          <t>KIMA</t>
        </is>
      </c>
      <c r="N9" s="75" t="n"/>
      <c r="O9" s="53" t="inlineStr">
        <is>
          <t>Window OS</t>
        </is>
      </c>
      <c r="P9" s="76" t="inlineStr">
        <is>
          <t>Edge</t>
        </is>
      </c>
      <c r="Q9" s="70" t="n"/>
      <c r="R9" s="70" t="n"/>
      <c r="S9" s="77" t="inlineStr">
        <is>
          <t>Run</t>
        </is>
      </c>
    </row>
    <row r="10" ht="15.75" customHeight="1" s="51">
      <c r="A10" s="67" t="inlineStr">
        <is>
          <t>TC_002</t>
        </is>
      </c>
      <c r="B10" s="79" t="inlineStr">
        <is>
          <t>Deposit</t>
        </is>
      </c>
      <c r="C10" s="72" t="inlineStr">
        <is>
          <t>The deposit form offers a wallet for every currency the account holds</t>
        </is>
      </c>
      <c r="D10" s="70" t="inlineStr">
        <is>
          <t>Positive</t>
        </is>
      </c>
      <c r="E10" s="71" t="inlineStr">
        <is>
          <t>User is on Deposit page</t>
        </is>
      </c>
      <c r="F10" s="72" t="inlineStr">
        <is>
          <t xml:space="preserve">-I log into the UMPay application with valid email credentials using "1" of "sheet1" of "Deposit_TestData.xlsx"
-When I navigate to Deposit page
-Then the deposit currency list should offer "BDT, BRL, HKD, IDR, MXN, MYR, PHP, THB, USD, VND"
</t>
        </is>
      </c>
      <c r="G10" s="72" t="inlineStr">
        <is>
          <t>Valid UMPay credentials</t>
        </is>
      </c>
      <c r="H10" s="73" t="inlineStr">
        <is>
          <t>User should be able to see all the currency wallet</t>
        </is>
      </c>
      <c r="I10" s="73" t="inlineStr">
        <is>
          <t>User is still on Deposit page</t>
        </is>
      </c>
      <c r="J10" s="73" t="inlineStr">
        <is>
          <t>User can see all the currency wallet</t>
        </is>
      </c>
      <c r="K10" s="53" t="inlineStr">
        <is>
          <t>PASS</t>
        </is>
      </c>
      <c r="L10" s="53" t="inlineStr">
        <is>
          <t>HIGH</t>
        </is>
      </c>
      <c r="M10" s="70" t="inlineStr">
        <is>
          <t>KIMA</t>
        </is>
      </c>
      <c r="N10" s="75" t="n"/>
      <c r="O10" s="53" t="inlineStr">
        <is>
          <t>Window OS</t>
        </is>
      </c>
      <c r="P10" s="76" t="inlineStr">
        <is>
          <t>Edge</t>
        </is>
      </c>
      <c r="Q10" s="70" t="n"/>
      <c r="R10" s="70" t="n"/>
      <c r="S10" s="77" t="inlineStr">
        <is>
          <t>Run</t>
        </is>
      </c>
    </row>
    <row r="11" ht="15.75" customHeight="1" s="51">
      <c r="A11" s="67" t="inlineStr">
        <is>
          <t>TC_003</t>
        </is>
      </c>
      <c r="B11" s="79" t="inlineStr">
        <is>
          <t>Deposit</t>
        </is>
      </c>
      <c r="C11" s="72" t="inlineStr">
        <is>
          <t>An amount below the minimum is refused</t>
        </is>
      </c>
      <c r="D11" s="70" t="inlineStr">
        <is>
          <t>Negative</t>
        </is>
      </c>
      <c r="E11" s="71" t="inlineStr">
        <is>
          <t>User is on Deposit page</t>
        </is>
      </c>
      <c r="F11" s="72" t="inlineStr">
        <is>
          <t>-Given I log into the UMPay application with valid email credentials using "1" of "sheet1" of "Deposit_TestData.xlsx"
-When I navigate to Deposit page
-And I choose the "HKD" wallet on the Deposit page
-And I enter "50" as the deposit amount
-Then the deposit amount should be refused with "Please input an amount of limit min or above!"</t>
        </is>
      </c>
      <c r="G11" s="72" t="inlineStr">
        <is>
          <t>Valid UMPay credentials</t>
        </is>
      </c>
      <c r="H11" s="73" t="inlineStr">
        <is>
          <t>User should not be able to deposit amount lower than limit</t>
        </is>
      </c>
      <c r="I11" s="73" t="inlineStr">
        <is>
          <t>User is still on Deposit page</t>
        </is>
      </c>
      <c r="J11" s="73" t="inlineStr">
        <is>
          <t>User can not deposit amount lower than limit</t>
        </is>
      </c>
      <c r="K11" s="53" t="inlineStr">
        <is>
          <t>PASS</t>
        </is>
      </c>
      <c r="L11" s="53" t="inlineStr">
        <is>
          <t>HIGH</t>
        </is>
      </c>
      <c r="M11" s="70" t="inlineStr">
        <is>
          <t>KIMA</t>
        </is>
      </c>
      <c r="N11" s="75" t="n"/>
      <c r="O11" s="53" t="inlineStr">
        <is>
          <t>Window OS</t>
        </is>
      </c>
      <c r="P11" s="76" t="inlineStr">
        <is>
          <t>Edge</t>
        </is>
      </c>
      <c r="Q11" s="70" t="n"/>
      <c r="R11" s="70" t="n"/>
      <c r="S11" s="77" t="inlineStr">
        <is>
          <t>Run</t>
        </is>
      </c>
    </row>
    <row r="12" ht="15.75" customHeight="1" s="51">
      <c r="A12" s="67" t="inlineStr">
        <is>
          <t>TC_004</t>
        </is>
      </c>
      <c r="B12" s="79" t="inlineStr">
        <is>
          <t>Deposit</t>
        </is>
      </c>
      <c r="C12" s="72" t="inlineStr">
        <is>
          <t>An amount above the maximum is refused</t>
        </is>
      </c>
      <c r="D12" s="70" t="inlineStr">
        <is>
          <t>Negative</t>
        </is>
      </c>
      <c r="E12" s="71" t="inlineStr">
        <is>
          <t>User is on Deposit page</t>
        </is>
      </c>
      <c r="F12" s="72" t="inlineStr">
        <is>
          <t>-I log into the UMPay application with valid email credentials using "1" of "sheet1" of "Deposit_TestData.xlsx"
-When I navigate to Deposit page
-And I choose the "HKD" wallet on the Deposit page
-And I enter "1000000000" as the deposit amount
-Then the deposit amount should be refused with "Please input an amount of limit max or below!"</t>
        </is>
      </c>
      <c r="G12" s="72" t="inlineStr">
        <is>
          <t>Valid UMPay credentials</t>
        </is>
      </c>
      <c r="H12" s="73" t="inlineStr">
        <is>
          <t>User should not be able to deposit amount greater than limit</t>
        </is>
      </c>
      <c r="I12" s="73" t="inlineStr">
        <is>
          <t>User is still on Deposit page</t>
        </is>
      </c>
      <c r="J12" s="73" t="inlineStr">
        <is>
          <t>User can not deposit amount greater than limit</t>
        </is>
      </c>
      <c r="K12" s="53" t="inlineStr">
        <is>
          <t>PASS</t>
        </is>
      </c>
      <c r="L12" s="53" t="inlineStr">
        <is>
          <t>HIGH</t>
        </is>
      </c>
      <c r="M12" s="70" t="inlineStr">
        <is>
          <t>KIMA</t>
        </is>
      </c>
      <c r="N12" s="75" t="n"/>
      <c r="O12" s="53" t="inlineStr">
        <is>
          <t>Window OS</t>
        </is>
      </c>
      <c r="P12" s="76" t="inlineStr">
        <is>
          <t>Edge</t>
        </is>
      </c>
      <c r="Q12" s="70" t="n"/>
      <c r="R12" s="70" t="n"/>
      <c r="S12" s="77" t="inlineStr">
        <is>
          <t>Run</t>
        </is>
      </c>
    </row>
    <row r="13" ht="15.75" customHeight="1" s="51">
      <c r="A13" s="67" t="inlineStr">
        <is>
          <t>TC_005</t>
        </is>
      </c>
      <c r="B13" s="79" t="inlineStr">
        <is>
          <t>Deposit</t>
        </is>
      </c>
      <c r="C13" s="72" t="inlineStr">
        <is>
          <t>The minimum itself is accepted</t>
        </is>
      </c>
      <c r="D13" s="70" t="inlineStr">
        <is>
          <t>Positive</t>
        </is>
      </c>
      <c r="E13" s="71" t="inlineStr">
        <is>
          <t>User is on Deposit page</t>
        </is>
      </c>
      <c r="F13" s="72" t="inlineStr">
        <is>
          <t xml:space="preserve">-I log into the UMPay application with valid email credentials using "1" of "sheet1" of "Deposit_TestData.xlsx"
-When I navigate to Deposit page
-And I choose the "HKD" wallet on the Deposit page
-And I enter "100" as the deposit amount
-Then the deposit amount should be accepted
</t>
        </is>
      </c>
      <c r="G13" s="72" t="inlineStr">
        <is>
          <t>Valid UMPay credentials</t>
        </is>
      </c>
      <c r="H13" s="73" t="inlineStr">
        <is>
          <t>User should be able to perform deposit successfully</t>
        </is>
      </c>
      <c r="I13" s="73" t="inlineStr">
        <is>
          <t>User is navigated back to home screen</t>
        </is>
      </c>
      <c r="J13" s="73" t="inlineStr">
        <is>
          <t>User can perform deposit successfully</t>
        </is>
      </c>
      <c r="K13" s="53" t="inlineStr">
        <is>
          <t>PASS</t>
        </is>
      </c>
      <c r="L13" s="53" t="inlineStr">
        <is>
          <t>HIGH</t>
        </is>
      </c>
      <c r="M13" s="70" t="inlineStr">
        <is>
          <t>KIMA</t>
        </is>
      </c>
      <c r="N13" s="75" t="n"/>
      <c r="O13" s="53" t="inlineStr">
        <is>
          <t>Window OS</t>
        </is>
      </c>
      <c r="P13" s="76" t="inlineStr">
        <is>
          <t>Edge</t>
        </is>
      </c>
      <c r="Q13" s="70" t="n"/>
      <c r="R13" s="70" t="n"/>
      <c r="S13" s="77" t="inlineStr">
        <is>
          <t>Run</t>
        </is>
      </c>
    </row>
    <row r="14" ht="15.75" customHeight="1" s="51">
      <c r="A14" s="67" t="inlineStr">
        <is>
          <t>TC_006</t>
        </is>
      </c>
      <c r="B14" s="79" t="inlineStr">
        <is>
          <t>Deposit</t>
        </is>
      </c>
      <c r="C14" s="72" t="inlineStr">
        <is>
          <t>The amount box states the limits it enforces</t>
        </is>
      </c>
      <c r="D14" s="70" t="inlineStr">
        <is>
          <t>Positive</t>
        </is>
      </c>
      <c r="E14" s="71" t="inlineStr">
        <is>
          <t>User is on Deposit page</t>
        </is>
      </c>
      <c r="F14" s="72" t="inlineStr">
        <is>
          <t>-I log into the UMPay application with valid email credentials using "1" of "sheet1" of "Deposit_TestData.xlsx"
-When I navigate to Deposit page
-And I choose the "HKD" wallet on the Deposit page
-Then the deposit form should state a minimum of "100" and a maximum of "999999999"</t>
        </is>
      </c>
      <c r="G14" s="72" t="inlineStr">
        <is>
          <t>Valid UMPay credentials</t>
        </is>
      </c>
      <c r="H14" s="73" t="inlineStr">
        <is>
          <t>User should be able to perform deposit successfully</t>
        </is>
      </c>
      <c r="I14" s="73" t="inlineStr">
        <is>
          <t>User is navigated back to home screen</t>
        </is>
      </c>
      <c r="J14" s="73" t="inlineStr">
        <is>
          <t>User can perform deposit successfully</t>
        </is>
      </c>
      <c r="K14" s="53" t="inlineStr">
        <is>
          <t>PASS</t>
        </is>
      </c>
      <c r="L14" s="53" t="inlineStr">
        <is>
          <t>HIGH</t>
        </is>
      </c>
      <c r="M14" s="70" t="inlineStr">
        <is>
          <t>KIMA</t>
        </is>
      </c>
      <c r="N14" s="75" t="n"/>
      <c r="O14" s="53" t="inlineStr">
        <is>
          <t>Window OS</t>
        </is>
      </c>
      <c r="P14" s="76" t="inlineStr">
        <is>
          <t>Edge</t>
        </is>
      </c>
      <c r="Q14" s="70" t="n"/>
      <c r="R14" s="70" t="n"/>
      <c r="S14" s="77" t="inlineStr">
        <is>
          <t>Run</t>
        </is>
      </c>
    </row>
  </sheetData>
  <dataValidations count="7">
    <dataValidation sqref="K9:K14" showDropDown="0" showInputMessage="0" showErrorMessage="1" allowBlank="1" type="list" operator="between">
      <formula1>"PASS,FAIL,PENDING"</formula1>
      <formula2>0</formula2>
    </dataValidation>
    <dataValidation sqref="P9:P14" showDropDown="0" showInputMessage="0" showErrorMessage="1" allowBlank="1" type="list" operator="between">
      <formula1>METADATA!$H$2:$H$8</formula1>
      <formula2>0</formula2>
    </dataValidation>
    <dataValidation sqref="O9:O14" showDropDown="0" showInputMessage="0" showErrorMessage="1" allowBlank="1" type="list" operator="between">
      <formula1>METADATA!$J$2:$J$7</formula1>
      <formula2>0</formula2>
    </dataValidation>
    <dataValidation sqref="D9:D14" showDropDown="0" showInputMessage="0" showErrorMessage="1" allowBlank="1" type="list" operator="between">
      <formula1>METADATA!$N$2:$N$3</formula1>
      <formula2>0</formula2>
    </dataValidation>
    <dataValidation sqref="B4 M9:M14" showDropDown="0" showInputMessage="0" showErrorMessage="1" allowBlank="1" type="list" operator="between">
      <formula1>METADATA!$F$2:$F$4</formula1>
      <formula2>0</formula2>
    </dataValidation>
    <dataValidation sqref="L9:L14" showDropDown="0" showInputMessage="0" showErrorMessage="1" allowBlank="1" type="list" operator="between">
      <formula1>"HIGH,MEDIUM,LOW"</formula1>
      <formula2>0</formula2>
    </dataValidation>
    <dataValidation sqref="B1" showDropDown="0" showInputMessage="0" showErrorMessage="1" allowBlank="1" type="list" operator="between">
      <formula1>"WPAY,UMPay,OFL,UNCS"</formula1>
      <formula2>0</formula2>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T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RowHeight="15.75" zeroHeight="0" outlineLevelRow="0"/>
  <cols>
    <col width="12.63" customWidth="1" style="50" min="1" max="2"/>
    <col width="26.51" customWidth="1" style="50" min="3" max="3"/>
    <col width="12.63" customWidth="1" style="50" min="4" max="5"/>
    <col width="18.12" customWidth="1" style="50" min="6" max="6"/>
    <col width="12.63" customWidth="1" style="50" min="7"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Withdraw</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46170</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46170</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Withdraw</t>
        </is>
      </c>
      <c r="C9" s="72" t="inlineStr">
        <is>
          <t>Successful Withdraw Transaction using Template</t>
        </is>
      </c>
      <c r="D9" s="70" t="inlineStr">
        <is>
          <t>Positive</t>
        </is>
      </c>
      <c r="E9" s="71" t="inlineStr">
        <is>
          <t>User is on Withdraw page</t>
        </is>
      </c>
      <c r="F9" s="72" t="inlineStr">
        <is>
          <t xml:space="preserve">-Given I log into the UMPay application with valid email credentials using "&lt;row&gt;" of "&lt;excelSheetName&gt;" of "&lt;excelFileName&gt;"
-When I navigate to Withdraw page
-Then I should be able to initiate a withdraw transaction using "&lt;row&gt;" of "&lt;excelSheetName&gt;" of "&lt;excelFileName&gt;"
</t>
        </is>
      </c>
      <c r="G9" s="72" t="inlineStr">
        <is>
          <t>Valid UNCS Admin credentials.</t>
        </is>
      </c>
      <c r="H9" s="73" t="inlineStr">
        <is>
          <t>User should be able to submit withdraw transaction successfully</t>
        </is>
      </c>
      <c r="I9" s="73" t="inlineStr">
        <is>
          <t>User is navigated to home page</t>
        </is>
      </c>
      <c r="J9" s="73" t="inlineStr">
        <is>
          <t>User can submit withdraw transaction successfully</t>
        </is>
      </c>
      <c r="K9" s="74" t="inlineStr">
        <is>
          <t>PASS</t>
        </is>
      </c>
      <c r="L9" s="74" t="inlineStr">
        <is>
          <t>HIGH</t>
        </is>
      </c>
      <c r="M9" s="58" t="inlineStr">
        <is>
          <t>KIMA</t>
        </is>
      </c>
      <c r="N9" s="75" t="n"/>
      <c r="O9" s="53" t="inlineStr">
        <is>
          <t>Window OS</t>
        </is>
      </c>
      <c r="P9" s="76" t="inlineStr">
        <is>
          <t>Edge</t>
        </is>
      </c>
      <c r="Q9" s="70" t="n"/>
      <c r="R9" s="70" t="n"/>
      <c r="S9" s="77" t="inlineStr">
        <is>
          <t>Run</t>
        </is>
      </c>
    </row>
    <row r="10" ht="15.75" customHeight="1" s="51">
      <c r="A10" s="67" t="inlineStr">
        <is>
          <t>TC_002</t>
        </is>
      </c>
      <c r="B10" s="79" t="inlineStr">
        <is>
          <t>Withdraw</t>
        </is>
      </c>
      <c r="C10" s="72" t="inlineStr">
        <is>
          <t>Successful Withdraw Transaction using New Account</t>
        </is>
      </c>
      <c r="D10" s="70" t="inlineStr">
        <is>
          <t>Positive</t>
        </is>
      </c>
      <c r="E10" s="71" t="inlineStr">
        <is>
          <t>User is on Withdraw page</t>
        </is>
      </c>
      <c r="F10" s="72" t="inlineStr">
        <is>
          <t xml:space="preserve">-Given I log into the UMPay application with valid email credentials using "&lt;row&gt;" of "&lt;excelSheetName&gt;" of "&lt;excelFileName&gt;"
-When I navigate to Withdraw page
-Then I should be able to initiate a withdraw transaction using "&lt;row&gt;" of "&lt;excelSheetName&gt;" of "&lt;excelFileName&gt;"
</t>
        </is>
      </c>
      <c r="G10" s="72" t="inlineStr">
        <is>
          <t>Valid UNCS Admin credentials.</t>
        </is>
      </c>
      <c r="H10" s="73" t="inlineStr">
        <is>
          <t>User should be able to submit withdraw transaction successfully</t>
        </is>
      </c>
      <c r="I10" s="73" t="inlineStr">
        <is>
          <t>User is navigated to home page</t>
        </is>
      </c>
      <c r="J10" s="73" t="inlineStr">
        <is>
          <t>User can submit withdraw transaction successfully</t>
        </is>
      </c>
      <c r="K10" s="74" t="inlineStr">
        <is>
          <t>PASS</t>
        </is>
      </c>
      <c r="L10" s="74" t="inlineStr">
        <is>
          <t>HIGH</t>
        </is>
      </c>
      <c r="M10" s="58" t="inlineStr">
        <is>
          <t>KIMA</t>
        </is>
      </c>
      <c r="N10" s="75" t="n"/>
      <c r="O10" s="53" t="inlineStr">
        <is>
          <t>Window OS</t>
        </is>
      </c>
      <c r="P10" s="76" t="inlineStr">
        <is>
          <t>Edge</t>
        </is>
      </c>
      <c r="Q10" s="70" t="n"/>
      <c r="R10" s="70" t="n"/>
      <c r="S10" s="77" t="inlineStr">
        <is>
          <t>Run</t>
        </is>
      </c>
    </row>
    <row r="11" ht="15.75" customHeight="1" s="51">
      <c r="A11" s="67" t="inlineStr">
        <is>
          <t>TC_003</t>
        </is>
      </c>
      <c r="B11" s="79" t="inlineStr">
        <is>
          <t>Withdraw</t>
        </is>
      </c>
      <c r="C11" s="72" t="inlineStr">
        <is>
          <t>The withdraw form offers a wallet for every currency the account holds</t>
        </is>
      </c>
      <c r="D11" s="70" t="inlineStr">
        <is>
          <t>Positive</t>
        </is>
      </c>
      <c r="E11" s="71" t="inlineStr">
        <is>
          <t>User is on Withdraw page</t>
        </is>
      </c>
      <c r="F11" s="72" t="inlineStr">
        <is>
          <t>-Given I log into the UMPay application with valid email credentials using "&lt;row&gt;" of "&lt;excelSheetName&gt;" of "&lt;excelFileName&gt;"
-When I navigate to Withdraw page
-Then the withdraw currency list should offer "BDT, BRL, HKD, IDR, MXN, MYR, PHP, THB, USD, VND"</t>
        </is>
      </c>
      <c r="G11" s="72" t="inlineStr">
        <is>
          <t>Valid UNCS Admin credentials.</t>
        </is>
      </c>
      <c r="H11" s="73" t="inlineStr">
        <is>
          <t>User should be able to see all the wallets</t>
        </is>
      </c>
      <c r="I11" s="73" t="inlineStr">
        <is>
          <t>User is still on Withdraw page</t>
        </is>
      </c>
      <c r="J11" s="73" t="inlineStr">
        <is>
          <t>User can see all the wallets</t>
        </is>
      </c>
      <c r="K11" s="74" t="inlineStr">
        <is>
          <t>PASS</t>
        </is>
      </c>
      <c r="L11" s="74" t="inlineStr">
        <is>
          <t>HIGH</t>
        </is>
      </c>
      <c r="M11" s="58" t="inlineStr">
        <is>
          <t>KIMA</t>
        </is>
      </c>
      <c r="N11" s="75" t="n"/>
      <c r="O11" s="53" t="inlineStr">
        <is>
          <t>Window OS</t>
        </is>
      </c>
      <c r="P11" s="76" t="inlineStr">
        <is>
          <t>Edge</t>
        </is>
      </c>
      <c r="Q11" s="70" t="n"/>
      <c r="R11" s="70" t="n"/>
      <c r="S11" s="77" t="inlineStr">
        <is>
          <t>Run</t>
        </is>
      </c>
    </row>
    <row r="12" ht="15.75" customHeight="1" s="51">
      <c r="A12" s="67" t="inlineStr">
        <is>
          <t>TC_004</t>
        </is>
      </c>
      <c r="B12" s="79" t="inlineStr">
        <is>
          <t>Withdraw</t>
        </is>
      </c>
      <c r="C12" s="72" t="inlineStr">
        <is>
          <t>The amount box holds each wallet to its own stated limits</t>
        </is>
      </c>
      <c r="D12" s="70" t="inlineStr">
        <is>
          <t>Positive</t>
        </is>
      </c>
      <c r="E12" s="71" t="inlineStr">
        <is>
          <t>User is on Withdraw page</t>
        </is>
      </c>
      <c r="F12" s="72" t="inlineStr">
        <is>
          <t>-Given I log into the UMPay application with valid email credentials using "1" of "sheet1" of "Withdraw_TestData.xlsx"
-When I navigate to Withdraw page
-And I choose the "&lt;currency&gt;" wallet on the Withdraw page
-And I enter one below the stated minimum as the withdraw amount
-Then the withdraw amount should be refused with "Please input an amount of limit min or above!"
-When I enter one above the stated maximum as the withdraw amount
-Then the withdraw amount should be refused with "Please input an amount of limit max or below!"
-When I enter the stated minimum as the withdraw amount
-Then the withdraw amount should be accepted</t>
        </is>
      </c>
      <c r="G12" s="72" t="inlineStr">
        <is>
          <t>Valid UNCS Admin credentials.</t>
        </is>
      </c>
      <c r="H12" s="73" t="inlineStr">
        <is>
          <t>Amount limits should work as expected</t>
        </is>
      </c>
      <c r="I12" s="73" t="inlineStr">
        <is>
          <t>User is still on Withdraw page</t>
        </is>
      </c>
      <c r="J12" s="73" t="inlineStr">
        <is>
          <t>Amount limits are working as expected</t>
        </is>
      </c>
      <c r="K12" s="74" t="inlineStr">
        <is>
          <t>PASS</t>
        </is>
      </c>
      <c r="L12" s="74" t="inlineStr">
        <is>
          <t>HIGH</t>
        </is>
      </c>
      <c r="M12" s="58" t="inlineStr">
        <is>
          <t>KIMA</t>
        </is>
      </c>
      <c r="N12" s="75" t="n"/>
      <c r="O12" s="53" t="inlineStr">
        <is>
          <t>Window OS</t>
        </is>
      </c>
      <c r="P12" s="76" t="inlineStr">
        <is>
          <t>Edge</t>
        </is>
      </c>
      <c r="Q12" s="70" t="n"/>
      <c r="R12" s="70" t="n"/>
      <c r="S12" s="77" t="inlineStr">
        <is>
          <t>Run</t>
        </is>
      </c>
    </row>
    <row r="13" ht="15.75" customHeight="1" s="51">
      <c r="A13" s="67" t="inlineStr">
        <is>
          <t>TC_005</t>
        </is>
      </c>
      <c r="B13" s="79" t="inlineStr">
        <is>
          <t>Withdraw</t>
        </is>
      </c>
      <c r="C13" s="72" t="inlineStr">
        <is>
          <t>The amount box refuses anything that is not an amount</t>
        </is>
      </c>
      <c r="D13" s="70" t="inlineStr">
        <is>
          <t>Negative</t>
        </is>
      </c>
      <c r="E13" s="71" t="inlineStr">
        <is>
          <t>User is on the Withdraw page with the HKD wallet chosen</t>
        </is>
      </c>
      <c r="F13" s="72" t="inlineStr">
        <is>
          <t>-Given I log into the UMPay application with valid email credentials using "1" of "sheet1" of "Withdraw_TestData.xlsx"
-When I navigate to Withdraw page
-And I choose the "HKD" wallet on the Withdraw page
-And I type "&lt;typed&gt;" at the withdraw amount box
-Then the withdraw amount box should be left holding nothing
-And the withdraw amount should be refused with "This field is required"</t>
        </is>
      </c>
      <c r="G13" s="72" t="inlineStr">
        <is>
          <t>Amount: abcd, 0, -100</t>
        </is>
      </c>
      <c r="H13" s="73" t="inlineStr">
        <is>
          <t>None of these should be accepted as an amount, and the form should say the field is required rather than leaving something unpayable sitting in the box</t>
        </is>
      </c>
      <c r="I13" s="73" t="inlineStr">
        <is>
          <t>User is on the Withdraw page</t>
        </is>
      </c>
      <c r="J13" s="73" t="inlineStr">
        <is>
          <t>None of the three ever reached the box. "abcd", "0" and "-100" each left it holding nothing at all, and the form answered "This field is required" - so the form works on the box as it is typed rather than letting a wrong amount sit in it</t>
        </is>
      </c>
      <c r="K13" s="74" t="inlineStr">
        <is>
          <t>PASS</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Withdraw</t>
        </is>
      </c>
      <c r="C14" s="72" t="inlineStr">
        <is>
          <t>The amount box will not take a figure finer than the currency pays in</t>
        </is>
      </c>
      <c r="D14" s="70" t="inlineStr">
        <is>
          <t>Negative</t>
        </is>
      </c>
      <c r="E14" s="71" t="inlineStr">
        <is>
          <t>User is on the Withdraw page with the HKD wallet chosen</t>
        </is>
      </c>
      <c r="F14" s="72" t="inlineStr">
        <is>
          <t>-Given I log into the UMPay application with valid email credentials using "1" of "sheet1" of "Withdraw_TestData.xlsx"
-When I navigate to Withdraw page
-And I choose the "HKD" wallet on the Withdraw page
-And I type "&lt;typed&gt;" at the withdraw amount box
-Then the withdraw amount box should be left holding "&lt;kept&gt;"</t>
        </is>
      </c>
      <c r="G14" s="72" t="inlineStr">
        <is>
          <t>Amount: 100.555</t>
        </is>
      </c>
      <c r="H14" s="73" t="inlineStr">
        <is>
          <t>The box should keep only what the currency can be paid in - Hong Kong dollars have cents and nothing smaller</t>
        </is>
      </c>
      <c r="I14" s="73" t="inlineStr">
        <is>
          <t>User is on the Withdraw page</t>
        </is>
      </c>
      <c r="J14" s="73" t="inlineStr">
        <is>
          <t>Typing 100.555 left the box holding 100.55, so the form keeps only what Hong Kong dollars can actually be paid in</t>
        </is>
      </c>
      <c r="K14" s="74" t="inlineStr">
        <is>
          <t>PASS</t>
        </is>
      </c>
      <c r="L14" s="74" t="inlineStr">
        <is>
          <t>MEDIUM</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Withdraw</t>
        </is>
      </c>
      <c r="C15" s="72" t="inlineStr">
        <is>
          <t>A withdraw cannot be confirmed with nowhere to send the money</t>
        </is>
      </c>
      <c r="D15" s="70" t="inlineStr">
        <is>
          <t>Negative</t>
        </is>
      </c>
      <c r="E15" s="71" t="inlineStr">
        <is>
          <t>User is on the Withdraw page with the HKD wallet chosen</t>
        </is>
      </c>
      <c r="F15" s="72" t="inlineStr">
        <is>
          <t>-Given I log into the UMPay application with valid email credentials using "1" of "sheet1" of "Withdraw_TestData.xlsx"
-When I navigate to Withdraw page
-And I choose the "&lt;currency&gt;" wallet on the Withdraw page
-And I enter the stated minimum as the withdraw amount
-Then the withdraw should not be confirmable
-When I choose the saved payout account "&lt;account&gt;"
-Then the withdraw should be confirmable</t>
        </is>
      </c>
      <c r="G15" s="72" t="inlineStr">
        <is>
          <t>Amount: the stated minimum; Payout account: none, then HSBC</t>
        </is>
      </c>
      <c r="H15" s="73" t="inlineStr">
        <is>
          <t>Confirm should not be pressable while no payout account has been chosen, and choosing one should be what makes it pressable</t>
        </is>
      </c>
      <c r="I15" s="73" t="inlineStr">
        <is>
          <t>User is on the Withdraw page</t>
        </is>
      </c>
      <c r="J15" s="73" t="inlineStr">
        <is>
          <t>With 100 HKD entered and no payout account chosen, Confirm was disabled and could not be pressed. Choosing the saved HSBC account is what made it pressable, so the payout account is what was stopping it rather than something else on the form</t>
        </is>
      </c>
      <c r="K15" s="74" t="inlineStr">
        <is>
          <t>PASS</t>
        </is>
      </c>
      <c r="L15" s="74" t="inlineStr">
        <is>
          <t>HIGH</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Withdraw</t>
        </is>
      </c>
      <c r="C16" s="72" t="inlineStr">
        <is>
          <t>A withdraw for more than the wallet holds is refused</t>
        </is>
      </c>
      <c r="D16" s="70" t="inlineStr">
        <is>
          <t>Negative</t>
        </is>
      </c>
      <c r="E16" s="71" t="inlineStr">
        <is>
          <t>User is on the Withdraw page with the HKD wallet chosen</t>
        </is>
      </c>
      <c r="F16" s="72" t="inlineStr">
        <is>
          <t>-Given I log into the UMPay application with valid email credentials using "1" of "sheet1" of "Withdraw_TestData.xlsx"
-When I navigate to Withdraw page
-And I choose the "&lt;currency&gt;" wallet on the Withdraw page
-And I enter more than the wallet holds as the withdraw amount
-And I choose the saved payout account "&lt;account&gt;"
-And I confirm the withdraw
-Then the platform should refuse to raise the order</t>
        </is>
      </c>
      <c r="G16" s="72" t="inlineStr">
        <is>
          <t>Amount: a thousand more than the wallet holds; Payout account: HSBC</t>
        </is>
      </c>
      <c r="H16" s="73" t="inlineStr">
        <is>
          <t>The platform should refuse to raise the order and say why, so somebody withdrawing from their own wallet is told they are short rather than left pressing Confirm</t>
        </is>
      </c>
      <c r="I16" s="73" t="inlineStr">
        <is>
          <t>No order is raised and the wallet is untouched</t>
        </is>
      </c>
      <c r="J16" s="73" t="inlineStr">
        <is>
          <t>DEFECT - the HKD wallet held HK$8,156.51 and the form was asked for 9,156 with the saved HSBC account chosen. Confirm was enabled, it was pressed, and then nothing happened at all: no PIN was asked for, no order was raised, no dialog, no notice, no message of any kind. The network confirms nothing was even attempted - the last call the page made was the fee lookup /api/fee/payment/PM134081?currency=HKD&amp;amount=9156, and no withdraw was ever posted. The money is safe, but somebody withdrawing from their own wallet is left pressing a button that silently does nothing and is never told they are short</t>
        </is>
      </c>
      <c r="K16" s="74" t="inlineStr">
        <is>
          <t>FAIL</t>
        </is>
      </c>
      <c r="L16" s="74" t="inlineStr">
        <is>
          <t>HIGH</t>
        </is>
      </c>
      <c r="M16" s="58" t="inlineStr">
        <is>
          <t>KIMA</t>
        </is>
      </c>
      <c r="N16" s="103" t="n">
        <v>46273</v>
      </c>
      <c r="O16" s="53" t="inlineStr">
        <is>
          <t>Window OS</t>
        </is>
      </c>
      <c r="P16" s="76" t="inlineStr">
        <is>
          <t>Chromium</t>
        </is>
      </c>
      <c r="Q16" s="70" t="n"/>
      <c r="R16" s="70" t="n"/>
      <c r="S16" s="77" t="inlineStr">
        <is>
          <t>Run</t>
        </is>
      </c>
    </row>
  </sheetData>
  <dataValidations count="7">
    <dataValidation sqref="K9:K16" showDropDown="0" showInputMessage="0" showErrorMessage="1" allowBlank="1" type="list" operator="between">
      <formula1>"PASS,FAIL,PENDING"</formula1>
      <formula2>0</formula2>
    </dataValidation>
    <dataValidation sqref="P9:P16" showDropDown="0" showInputMessage="0" showErrorMessage="1" allowBlank="1" type="list" operator="between">
      <formula1>METADATA!$H$2:$H$8</formula1>
      <formula2>0</formula2>
    </dataValidation>
    <dataValidation sqref="O9:O16" showDropDown="0" showInputMessage="0" showErrorMessage="1" allowBlank="1" type="list" operator="between">
      <formula1>METADATA!$J$2:$J$7</formula1>
      <formula2>0</formula2>
    </dataValidation>
    <dataValidation sqref="D9:D16" showDropDown="0" showInputMessage="0" showErrorMessage="1" allowBlank="1" type="list" operator="between">
      <formula1>METADATA!$N$2:$N$3</formula1>
      <formula2>0</formula2>
    </dataValidation>
    <dataValidation sqref="B4 M9:M16" showDropDown="0" showInputMessage="0" showErrorMessage="1" allowBlank="1" type="list" operator="between">
      <formula1>METADATA!$F$2:$F$4</formula1>
      <formula2>0</formula2>
    </dataValidation>
    <dataValidation sqref="L9:L16" showDropDown="0" showInputMessage="0" showErrorMessage="1" allowBlank="1" type="list" operator="between">
      <formula1>"HIGH,MEDIUM,LOW"</formula1>
      <formula2>0</formula2>
    </dataValidation>
    <dataValidation sqref="B1" showDropDown="0" showInputMessage="0" showErrorMessage="1" allowBlank="1" type="list" operator="between">
      <formula1>"WPAY,UMPay,OFL,UNCS"</formula1>
      <formula2>0</formula2>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T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Transfer</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46170</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46170</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Transfer</t>
        </is>
      </c>
      <c r="C9" s="72" t="inlineStr">
        <is>
          <t>The Transfer hub offers all different types of transfer options</t>
        </is>
      </c>
      <c r="D9" s="70" t="inlineStr">
        <is>
          <t>Positive</t>
        </is>
      </c>
      <c r="E9" s="71" t="inlineStr">
        <is>
          <t>User is on Transfer page</t>
        </is>
      </c>
      <c r="F9" s="72" t="inlineStr">
        <is>
          <t xml:space="preserve">-Given I log into the UMPay application with valid email credentials using "&lt;row&gt;" of "&lt;excelSheetName&gt;" of "&lt;excelFileName&gt;"
-When I open the Transfer hub
-Then the Transfer hub should offer the route "UMPay to Existing template"
-And the Transfer hub should offer the route "UMPay to UMPay Wallet"
-And the Transfer hub should offer the route "UnionPay China"
-And the Transfer hub should offer the route "UnionPay Global"
-And the Transfer hub should offer the route "Transfer to Alipay"
-And the Transfer hub should offer the route "Transfer to Wechat"
</t>
        </is>
      </c>
      <c r="G9" s="72" t="inlineStr">
        <is>
          <t>Valid UMPay User</t>
        </is>
      </c>
      <c r="H9" s="73" t="inlineStr">
        <is>
          <t>User should be able to see all options</t>
        </is>
      </c>
      <c r="I9" s="73" t="inlineStr">
        <is>
          <t xml:space="preserve">User is still on Transfer page </t>
        </is>
      </c>
      <c r="J9" s="73" t="inlineStr">
        <is>
          <t>User can see all options</t>
        </is>
      </c>
      <c r="K9" s="74" t="inlineStr">
        <is>
          <t>PASS</t>
        </is>
      </c>
      <c r="L9" s="74" t="inlineStr">
        <is>
          <t>HIGH</t>
        </is>
      </c>
      <c r="M9" s="58" t="inlineStr">
        <is>
          <t>KIMA</t>
        </is>
      </c>
      <c r="N9" s="75" t="n"/>
      <c r="O9" s="53" t="inlineStr">
        <is>
          <t>Window OS</t>
        </is>
      </c>
      <c r="P9" s="76" t="inlineStr">
        <is>
          <t>Edge</t>
        </is>
      </c>
      <c r="Q9" s="70" t="n"/>
      <c r="R9" s="70" t="n"/>
      <c r="S9" s="77" t="inlineStr">
        <is>
          <t>Run</t>
        </is>
      </c>
    </row>
    <row r="10" ht="15.75" customHeight="1" s="51">
      <c r="A10" s="67" t="inlineStr">
        <is>
          <t>TC_002</t>
        </is>
      </c>
      <c r="B10" s="79" t="inlineStr">
        <is>
          <t>Transfer</t>
        </is>
      </c>
      <c r="C10" s="72" t="inlineStr">
        <is>
          <t>A payment option under maintenance should not open</t>
        </is>
      </c>
      <c r="D10" s="70" t="inlineStr">
        <is>
          <t>Positive</t>
        </is>
      </c>
      <c r="E10" s="71" t="inlineStr">
        <is>
          <t>User is on Transfer page</t>
        </is>
      </c>
      <c r="F10" s="72" t="inlineStr">
        <is>
          <t>-Given I log into the UMPay application with valid email credentials using "1" of "sheet1" of "Transfer_TestData.xlsx"
-When I open the Transfer hub
-Then the route "&lt;route&gt;" should be marked as under maintenance
-When I take the "&lt;route&gt;" route from the Transfer hub
-Then the app should say the service is unavailable</t>
        </is>
      </c>
      <c r="G10" s="72" t="inlineStr">
        <is>
          <t>Valid UMPay User</t>
        </is>
      </c>
      <c r="H10" s="73" t="inlineStr">
        <is>
          <t>User should not be able to open payment option under maintenance</t>
        </is>
      </c>
      <c r="I10" s="73" t="inlineStr">
        <is>
          <t xml:space="preserve">User is still on Transfer page </t>
        </is>
      </c>
      <c r="J10" s="73" t="inlineStr">
        <is>
          <t>User can not open payment option under maintenance</t>
        </is>
      </c>
      <c r="K10" s="74" t="inlineStr">
        <is>
          <t>PASS</t>
        </is>
      </c>
      <c r="L10" s="74" t="inlineStr">
        <is>
          <t>HIGH</t>
        </is>
      </c>
      <c r="M10" s="58" t="inlineStr">
        <is>
          <t>KIMA</t>
        </is>
      </c>
      <c r="N10" s="75" t="n"/>
      <c r="O10" s="53" t="inlineStr">
        <is>
          <t>Window OS</t>
        </is>
      </c>
      <c r="P10" s="76" t="inlineStr">
        <is>
          <t>Edge</t>
        </is>
      </c>
      <c r="Q10" s="70" t="n"/>
      <c r="R10" s="70" t="n"/>
      <c r="S10" s="77" t="inlineStr">
        <is>
          <t>Run</t>
        </is>
      </c>
    </row>
    <row r="11" ht="15.75" customHeight="1" s="51">
      <c r="A11" s="67" t="inlineStr">
        <is>
          <t>TC_003</t>
        </is>
      </c>
      <c r="B11" s="79" t="inlineStr">
        <is>
          <t>Transfer</t>
        </is>
      </c>
      <c r="C11" s="72" t="inlineStr">
        <is>
          <t>A wallet transfer cannot go forward from an empty form</t>
        </is>
      </c>
      <c r="D11" s="70" t="inlineStr">
        <is>
          <t>Negative</t>
        </is>
      </c>
      <c r="E11" s="71" t="inlineStr">
        <is>
          <t>User is on Transfer page</t>
        </is>
      </c>
      <c r="F11" s="72" t="inlineStr">
        <is>
          <t>-Given I log into the UMPay application with valid email credentials using "&lt;row&gt;" of "&lt;excelSheetName&gt;" of "&lt;excelFileName&gt;"
-When I open the Transfer hub
-And I take the "UMPay to UMPay Wallet" route from the Transfer hub
-Then the UMPay wallet transfer form should be shown
-And the wallet transfer should not be ready to continue</t>
        </is>
      </c>
      <c r="G11" s="72" t="inlineStr">
        <is>
          <t>Valid UMPay User</t>
        </is>
      </c>
      <c r="H11" s="73" t="inlineStr">
        <is>
          <t>User should not be able to perform transfer</t>
        </is>
      </c>
      <c r="I11" s="73" t="inlineStr">
        <is>
          <t xml:space="preserve">User is still on Transfer page </t>
        </is>
      </c>
      <c r="J11" s="73" t="inlineStr">
        <is>
          <t>User can not perform transfer</t>
        </is>
      </c>
      <c r="K11" s="74" t="inlineStr">
        <is>
          <t>PASS</t>
        </is>
      </c>
      <c r="L11" s="74" t="inlineStr">
        <is>
          <t>HIGH</t>
        </is>
      </c>
      <c r="M11" s="58" t="inlineStr">
        <is>
          <t>KIMA</t>
        </is>
      </c>
      <c r="N11" s="75" t="n"/>
      <c r="O11" s="53" t="inlineStr">
        <is>
          <t>Window OS</t>
        </is>
      </c>
      <c r="P11" s="76" t="inlineStr">
        <is>
          <t>Edge</t>
        </is>
      </c>
      <c r="Q11" s="70" t="n"/>
      <c r="R11" s="70" t="n"/>
      <c r="S11" s="77" t="inlineStr">
        <is>
          <t>Run</t>
        </is>
      </c>
    </row>
    <row r="12" ht="15.75" customHeight="1" s="51">
      <c r="A12" s="67" t="inlineStr">
        <is>
          <t>TC_004</t>
        </is>
      </c>
      <c r="B12" s="79" t="inlineStr">
        <is>
          <t>Transfer</t>
        </is>
      </c>
      <c r="C12" s="72" t="inlineStr">
        <is>
          <t>A wallet transfer is refused when nobody holds the mobile number</t>
        </is>
      </c>
      <c r="D12" s="70" t="inlineStr">
        <is>
          <t>Negative</t>
        </is>
      </c>
      <c r="E12" s="71" t="inlineStr">
        <is>
          <t>User is on Transfer page</t>
        </is>
      </c>
      <c r="F12" s="72" t="inlineStr">
        <is>
          <t>-Given I log into the UMPay application with valid email credentials using "&lt;row&gt;" of "&lt;excelSheetName&gt;" of "&lt;excelFileName&gt;"
-When I open the Transfer hub
-And I take the "UMPay to UMPay Wallet" route from the Transfer hub
-Then the UMPay wallet transfer form should be shown
-And the wallet form should keep the amount and remark locked
-When I give the recipient's phone number in "&lt;row&gt;" of "&lt;excelSheetName&gt;" of "&lt;excelFileName&gt;"
-Then the form should say the recipient does not exist
-And the wallet form should keep the amount and remark locked
-And the wallet transfer should not be ready to continue</t>
        </is>
      </c>
      <c r="G12" s="72" t="inlineStr">
        <is>
          <t>Valid UMPay User</t>
        </is>
      </c>
      <c r="H12" s="73" t="inlineStr">
        <is>
          <t>User should not be able to perform transfer</t>
        </is>
      </c>
      <c r="I12" s="73" t="inlineStr">
        <is>
          <t xml:space="preserve">User is still on Transfer page </t>
        </is>
      </c>
      <c r="J12" s="73" t="inlineStr">
        <is>
          <t>User can not perform transfer</t>
        </is>
      </c>
      <c r="K12" s="74" t="inlineStr">
        <is>
          <t>PASS</t>
        </is>
      </c>
      <c r="L12" s="74" t="inlineStr">
        <is>
          <t>HIGH</t>
        </is>
      </c>
      <c r="M12" s="58" t="inlineStr">
        <is>
          <t>KIMA</t>
        </is>
      </c>
      <c r="N12" s="75" t="n"/>
      <c r="O12" s="53" t="inlineStr">
        <is>
          <t>Window OS</t>
        </is>
      </c>
      <c r="P12" s="76" t="inlineStr">
        <is>
          <t>Edge</t>
        </is>
      </c>
      <c r="Q12" s="70" t="n"/>
      <c r="R12" s="70" t="n"/>
      <c r="S12" s="77" t="inlineStr">
        <is>
          <t>Run</t>
        </is>
      </c>
    </row>
    <row r="13" ht="15.75" customHeight="1" s="51">
      <c r="A13" s="67" t="inlineStr">
        <is>
          <t>TC_005</t>
        </is>
      </c>
      <c r="B13" s="79" t="inlineStr">
        <is>
          <t>Transfer</t>
        </is>
      </c>
      <c r="C13" s="72" t="inlineStr">
        <is>
          <t>A recipient nobody holds is refused when named by ID</t>
        </is>
      </c>
      <c r="D13" s="70" t="inlineStr">
        <is>
          <t>Negative</t>
        </is>
      </c>
      <c r="E13" s="71" t="inlineStr">
        <is>
          <t>User is on Transfer page</t>
        </is>
      </c>
      <c r="F13" s="72" t="inlineStr">
        <is>
          <t>-Given I log into the UMPay application with valid email credentials using "&lt;row&gt;" of "&lt;excelSheetName&gt;" of "&lt;excelFileName&gt;"
-When I open the Transfer hub
-And I take the "UMPay to UMPay Wallet" route from the Transfer hub
-Then the UMPay wallet transfer form should be shown
-When I name the recipient by "ID"
-And I give the recipient's "ID" from "&lt;row&gt;" of "&lt;excelSheetName&gt;" of "&lt;excelFileName&gt;"
-Then the form should say the recipient does not exist
-And the wallet form should keep the amount and remark locked
-And the wallet transfer should not be ready to continue</t>
        </is>
      </c>
      <c r="G13" s="72" t="inlineStr">
        <is>
          <t>Valid UMPay User</t>
        </is>
      </c>
      <c r="H13" s="73" t="inlineStr">
        <is>
          <t>User should not be able to perform transfer</t>
        </is>
      </c>
      <c r="I13" s="73" t="inlineStr">
        <is>
          <t xml:space="preserve">User is still on Transfer page </t>
        </is>
      </c>
      <c r="J13" s="73" t="inlineStr">
        <is>
          <t>User can not perform transfer</t>
        </is>
      </c>
      <c r="K13" s="74" t="inlineStr">
        <is>
          <t>PASS</t>
        </is>
      </c>
      <c r="L13" s="74" t="inlineStr">
        <is>
          <t>HIGH</t>
        </is>
      </c>
      <c r="M13" s="58" t="inlineStr">
        <is>
          <t>KIMA</t>
        </is>
      </c>
      <c r="N13" s="75" t="n"/>
      <c r="O13" s="53" t="inlineStr">
        <is>
          <t>Window OS</t>
        </is>
      </c>
      <c r="P13" s="76" t="inlineStr">
        <is>
          <t>Edge</t>
        </is>
      </c>
      <c r="Q13" s="70" t="n"/>
      <c r="R13" s="70" t="n"/>
      <c r="S13" s="77" t="inlineStr">
        <is>
          <t>Run</t>
        </is>
      </c>
    </row>
    <row r="14" ht="15.75" customHeight="1" s="51">
      <c r="A14" s="67" t="inlineStr">
        <is>
          <t>TC_006</t>
        </is>
      </c>
      <c r="B14" s="79" t="inlineStr">
        <is>
          <t>Transfer</t>
        </is>
      </c>
      <c r="C14" s="72" t="inlineStr">
        <is>
          <t>A recipient nobody holds is refused when named by Email</t>
        </is>
      </c>
      <c r="D14" s="70" t="inlineStr">
        <is>
          <t>Negative</t>
        </is>
      </c>
      <c r="E14" s="71" t="inlineStr">
        <is>
          <t>User is on Transfer page</t>
        </is>
      </c>
      <c r="F14" s="72" t="inlineStr">
        <is>
          <t>-Given I log into the UMPay application with valid email credentials using "&lt;row&gt;" of "&lt;excelSheetName&gt;" of "&lt;excelFileName&gt;"
-When I open the Transfer hub
-And I take the "UMPay to UMPay Wallet" route from the Transfer hub
-Then the UMPay wallet transfer form should be shown
-When I name the recipient by "EMAIL"
-And I give the recipient's "EMAIL" from "&lt;row&gt;" of "&lt;excelSheetName&gt;" of "&lt;excelFileName&gt;"
-Then the form should say the recipient does not exist
-And the wallet form should keep the amount and remark locked
-And the wallet transfer should not be ready to continue</t>
        </is>
      </c>
      <c r="G14" s="72" t="inlineStr">
        <is>
          <t>Valid UMPay User</t>
        </is>
      </c>
      <c r="H14" s="73" t="inlineStr">
        <is>
          <t>User should not be able to perform transfer</t>
        </is>
      </c>
      <c r="I14" s="73" t="inlineStr">
        <is>
          <t xml:space="preserve">User is still on Transfer page </t>
        </is>
      </c>
      <c r="J14" s="73" t="inlineStr">
        <is>
          <t>User can not perform transfer</t>
        </is>
      </c>
      <c r="K14" s="74" t="inlineStr">
        <is>
          <t>PASS</t>
        </is>
      </c>
      <c r="L14" s="74" t="inlineStr">
        <is>
          <t>HIGH</t>
        </is>
      </c>
      <c r="M14" s="58" t="inlineStr">
        <is>
          <t>KIMA</t>
        </is>
      </c>
      <c r="N14" s="75" t="n"/>
      <c r="O14" s="53" t="inlineStr">
        <is>
          <t>Window OS</t>
        </is>
      </c>
      <c r="P14" s="76" t="inlineStr">
        <is>
          <t>Edge</t>
        </is>
      </c>
      <c r="Q14" s="70" t="n"/>
      <c r="R14" s="70" t="n"/>
      <c r="S14" s="77" t="inlineStr">
        <is>
          <t>Run</t>
        </is>
      </c>
    </row>
    <row r="15" ht="15.75" customHeight="1" s="51">
      <c r="A15" s="67" t="inlineStr">
        <is>
          <t>TC_007</t>
        </is>
      </c>
      <c r="B15" s="79" t="inlineStr">
        <is>
          <t>Transfer</t>
        </is>
      </c>
      <c r="C15" s="72" t="inlineStr">
        <is>
          <t>A wallet transfer is sent to a recipient named by ID</t>
        </is>
      </c>
      <c r="D15" s="70" t="inlineStr">
        <is>
          <t>Positive</t>
        </is>
      </c>
      <c r="E15" s="71" t="inlineStr">
        <is>
          <t>User is on Transfer page</t>
        </is>
      </c>
      <c r="F15" s="72" t="inlineStr">
        <is>
          <t>-Given I log into the UMPay application with valid email credentials using "&lt;row&gt;" of "&lt;excelSheetName&gt;" of "&lt;excelFileName&gt;"
-When I open the Transfer hub
-And I take the "UMPay to UMPay Wallet" route from the Transfer hub
-Then the UMPay wallet transfer form should be shown
-And the wallet form should keep the amount and remark locked
-When I name the recipient by "ID"
-And I give the recipient's "ID" from "&lt;row&gt;" of "&lt;excelSheetName&gt;" of "&lt;excelFileName&gt;"
-Then the form should find the recipient
-When I enter the amount in "&lt;row&gt;" of "&lt;excelSheetName&gt;" of "&lt;excelFileName&gt;" to send
-Then the wallet transfer should be ready to continue
-When I send the wallet transfer, which moves real money
-Then the wallet transfer should go through</t>
        </is>
      </c>
      <c r="G15" s="72" t="inlineStr">
        <is>
          <t>Valid UMPay User</t>
        </is>
      </c>
      <c r="H15" s="73" t="inlineStr">
        <is>
          <t>User should be able to perform transfer</t>
        </is>
      </c>
      <c r="I15" s="73" t="inlineStr">
        <is>
          <t xml:space="preserve">User is still on Transfer page </t>
        </is>
      </c>
      <c r="J15" s="73" t="inlineStr">
        <is>
          <t>User can perform transfer</t>
        </is>
      </c>
      <c r="K15" s="74" t="inlineStr">
        <is>
          <t>PASS</t>
        </is>
      </c>
      <c r="L15" s="74" t="inlineStr">
        <is>
          <t>HIGH</t>
        </is>
      </c>
      <c r="M15" s="58" t="inlineStr">
        <is>
          <t>KIMA</t>
        </is>
      </c>
      <c r="N15" s="75" t="n"/>
      <c r="O15" s="53" t="inlineStr">
        <is>
          <t>Window OS</t>
        </is>
      </c>
      <c r="P15" s="76" t="inlineStr">
        <is>
          <t>Edge</t>
        </is>
      </c>
      <c r="Q15" s="70" t="n"/>
      <c r="R15" s="70" t="n"/>
      <c r="S15" s="77" t="inlineStr">
        <is>
          <t>Run</t>
        </is>
      </c>
    </row>
    <row r="16" ht="15.75" customHeight="1" s="51">
      <c r="A16" s="67" t="inlineStr">
        <is>
          <t>TC_008</t>
        </is>
      </c>
      <c r="B16" s="79" t="inlineStr">
        <is>
          <t>Transfer</t>
        </is>
      </c>
      <c r="C16" s="72" t="inlineStr">
        <is>
          <t>A wallet transfer is sent to a recipient named by Email</t>
        </is>
      </c>
      <c r="D16" s="70" t="inlineStr">
        <is>
          <t>Positive</t>
        </is>
      </c>
      <c r="E16" s="71" t="inlineStr">
        <is>
          <t>User is on Transfer page</t>
        </is>
      </c>
      <c r="F16" s="72" t="inlineStr">
        <is>
          <t>-Given I log into the UMPay application with valid email credentials using "&lt;row&gt;" of "&lt;excelSheetName&gt;" of "&lt;excelFileName&gt;"
-When I open the Transfer hub
-And I take the "UMPay to UMPay Wallet" route from the Transfer hub
-Then the UMPay wallet transfer form should be shown
-And the wallet form should keep the amount and remark locked
-When I name the recipient by "EMAIL"
-And I give the recipient's "EMAIL" from "&lt;row&gt;" of "&lt;excelSheetName&gt;" of "&lt;excelFileName&gt;"
-Then the form should find the recipient
-When I enter the amount in "&lt;row&gt;" of "&lt;excelSheetName&gt;" of "&lt;excelFileName&gt;" to send
-Then the wallet transfer should be ready to continue
-When I send the wallet transfer, which moves real money
-Then the wallet transfer should go through</t>
        </is>
      </c>
      <c r="G16" s="72" t="inlineStr">
        <is>
          <t>Valid UMPay User</t>
        </is>
      </c>
      <c r="H16" s="73" t="inlineStr">
        <is>
          <t>User should be able to perform transfer</t>
        </is>
      </c>
      <c r="I16" s="73" t="inlineStr">
        <is>
          <t xml:space="preserve">User is still on Transfer page </t>
        </is>
      </c>
      <c r="J16" s="73" t="inlineStr">
        <is>
          <t>User can perform transfer</t>
        </is>
      </c>
      <c r="K16" s="74" t="inlineStr">
        <is>
          <t>PASS</t>
        </is>
      </c>
      <c r="L16" s="74" t="inlineStr">
        <is>
          <t>HIGH</t>
        </is>
      </c>
      <c r="M16" s="58" t="inlineStr">
        <is>
          <t>KIMA</t>
        </is>
      </c>
      <c r="N16" s="75" t="n"/>
      <c r="O16" s="53" t="inlineStr">
        <is>
          <t>Window OS</t>
        </is>
      </c>
      <c r="P16" s="76" t="inlineStr">
        <is>
          <t>Edge</t>
        </is>
      </c>
      <c r="Q16" s="70" t="n"/>
      <c r="R16" s="70" t="n"/>
      <c r="S16" s="77" t="inlineStr">
        <is>
          <t>Run</t>
        </is>
      </c>
    </row>
    <row r="17" ht="15.75" customHeight="1" s="51">
      <c r="A17" s="67" t="inlineStr">
        <is>
          <t>TC_009</t>
        </is>
      </c>
      <c r="B17" s="79" t="inlineStr">
        <is>
          <t>Transfer</t>
        </is>
      </c>
      <c r="C17" s="72" t="inlineStr">
        <is>
          <t>A wallet transfer is sent to a recipient named by Mobile</t>
        </is>
      </c>
      <c r="D17" s="70" t="inlineStr">
        <is>
          <t>Positive</t>
        </is>
      </c>
      <c r="E17" s="71" t="inlineStr">
        <is>
          <t>User is on Transfer page</t>
        </is>
      </c>
      <c r="F17" s="72" t="inlineStr">
        <is>
          <t>-Given I log into the UMPay application with valid email credentials using "&lt;row&gt;" of "&lt;excelSheetName&gt;" of "&lt;excelFileName&gt;"
-When I open the Transfer hub
-And I take the "UMPay to UMPay Wallet" route from the Transfer hub
-Then the UMPay wallet transfer form should be shown
-And the wallet form should keep the amount and remark locked
-When I name the recipient by "MOBILE"
-And I give the recipient's "MOBILE" from "&lt;row&gt;" of "&lt;excelSheetName&gt;" of "&lt;excelFileName&gt;"
-Then the form should find the recipient
-When I enter the amount in "&lt;row&gt;" of "&lt;excelSheetName&gt;" of "&lt;excelFileName&gt;" to send
-Then the wallet transfer should be ready to continue
-When I send the wallet transfer, which moves real money
-Then the wallet transfer should go through</t>
        </is>
      </c>
      <c r="G17" s="72" t="inlineStr">
        <is>
          <t>Valid UMPay User</t>
        </is>
      </c>
      <c r="H17" s="73" t="inlineStr">
        <is>
          <t>User should be able to perform transfer</t>
        </is>
      </c>
      <c r="I17" s="73" t="inlineStr">
        <is>
          <t xml:space="preserve">User is still on Transfer page </t>
        </is>
      </c>
      <c r="J17" s="73" t="inlineStr">
        <is>
          <t>User can perform transfer</t>
        </is>
      </c>
      <c r="K17" s="74" t="inlineStr">
        <is>
          <t>PASS</t>
        </is>
      </c>
      <c r="L17" s="74" t="inlineStr">
        <is>
          <t>HIGH</t>
        </is>
      </c>
      <c r="M17" s="58" t="inlineStr">
        <is>
          <t>KIMA</t>
        </is>
      </c>
      <c r="N17" s="75" t="n"/>
      <c r="O17" s="53" t="inlineStr">
        <is>
          <t>Window OS</t>
        </is>
      </c>
      <c r="P17" s="76" t="inlineStr">
        <is>
          <t>Edge</t>
        </is>
      </c>
      <c r="Q17" s="70" t="n"/>
      <c r="R17" s="70" t="n"/>
      <c r="S17" s="77" t="inlineStr">
        <is>
          <t>Run</t>
        </is>
      </c>
    </row>
    <row r="18" ht="15.75" customHeight="1" s="51">
      <c r="A18" s="67" t="inlineStr">
        <is>
          <t>TC_010</t>
        </is>
      </c>
      <c r="B18" s="79" t="inlineStr">
        <is>
          <t>Transfer</t>
        </is>
      </c>
      <c r="C18" s="72" t="inlineStr">
        <is>
          <t>A UnionPay China transfer from the Transfer page converts and is sent</t>
        </is>
      </c>
      <c r="D18" s="70" t="inlineStr">
        <is>
          <t>Positive</t>
        </is>
      </c>
      <c r="E18" s="71" t="inlineStr">
        <is>
          <t>User is on Transfer page</t>
        </is>
      </c>
      <c r="F18" s="72" t="inlineStr">
        <is>
          <t>-Given I log into the UMPay application with valid email credentials using "&lt;row&gt;" of "&lt;excelSheetName&gt;" of "&lt;excelFileName&gt;"
-When I open the Transfer hub
-And I take the "UnionPay China" route from the Transfer hub
-Then the UnionPay amount form should be shown
-And the UnionPay form should state "Limit Min"
-And the UnionPay form should state "Limit Max"
-And the UnionPay form should offer a converted amount
-When I enter the stated minimum as the UnionPay amount
-Then the converted amount should be worked out
-And the UnionPay transfer should be ready to continue
-When I go on to the receiver step
-And I send it to the saved receiver in "&lt;row&gt;" of "&lt;excelSheetName&gt;" of "&lt;excelFileName&gt;", which moves real money
-Then the transfer should go through</t>
        </is>
      </c>
      <c r="G18" s="72" t="inlineStr">
        <is>
          <t>Valid UMPay User</t>
        </is>
      </c>
      <c r="H18" s="73" t="inlineStr">
        <is>
          <t>User should be able to perform transfer</t>
        </is>
      </c>
      <c r="I18" s="73" t="inlineStr">
        <is>
          <t xml:space="preserve">User is still on Transfer page </t>
        </is>
      </c>
      <c r="J18" s="73" t="inlineStr">
        <is>
          <t>User can perform transfer</t>
        </is>
      </c>
      <c r="K18" s="74" t="inlineStr">
        <is>
          <t>PASS</t>
        </is>
      </c>
      <c r="L18" s="74" t="inlineStr">
        <is>
          <t>HIGH</t>
        </is>
      </c>
      <c r="M18" s="58" t="inlineStr">
        <is>
          <t>KIMA</t>
        </is>
      </c>
      <c r="N18" s="75" t="n"/>
      <c r="O18" s="53" t="inlineStr">
        <is>
          <t>Window OS</t>
        </is>
      </c>
      <c r="P18" s="76" t="inlineStr">
        <is>
          <t>Edge</t>
        </is>
      </c>
      <c r="Q18" s="70" t="n"/>
      <c r="R18" s="70" t="n"/>
      <c r="S18" s="77" t="inlineStr">
        <is>
          <t>Run</t>
        </is>
      </c>
    </row>
    <row r="19" ht="15.75" customHeight="1" s="51">
      <c r="A19" s="67" t="inlineStr">
        <is>
          <t>TC_011</t>
        </is>
      </c>
      <c r="B19" s="79" t="inlineStr">
        <is>
          <t>Transfer</t>
        </is>
      </c>
      <c r="C19" s="72" t="inlineStr">
        <is>
          <t>A UnionPay Global transfer from the Transfer page does not convert and is sent</t>
        </is>
      </c>
      <c r="D19" s="70" t="inlineStr">
        <is>
          <t>Positive</t>
        </is>
      </c>
      <c r="E19" s="71" t="inlineStr">
        <is>
          <t>User is on Transfer page</t>
        </is>
      </c>
      <c r="F19" s="72" t="inlineStr">
        <is>
          <t>-Given I log into the UMPay application with valid email credentials using "&lt;row&gt;" of "&lt;excelSheetName&gt;" of "&lt;excelFileName&gt;"
-When I open the Transfer hub
-And I take the "UnionPay Global" route from the Transfer hub
-Then the UnionPay amount form should be shown
-And the UnionPay form should state "Limit Min"
-And the UnionPay form should state "Limit Max"
-And the UnionPay form should not offer a converted amount
-When I enter the stated minimum as the UnionPay amount
-Then the UnionPay transfer should be ready to continue
-When I go on to the receiver step
-And I send it to the saved receiver in "&lt;row&gt;" of "&lt;excelSheetName&gt;" of "&lt;excelFileName&gt;", which moves real money
-Then the transfer should go through</t>
        </is>
      </c>
      <c r="G19" s="72" t="inlineStr">
        <is>
          <t>Valid UMPay User</t>
        </is>
      </c>
      <c r="H19" s="73" t="inlineStr">
        <is>
          <t>User should be able to perform transfer</t>
        </is>
      </c>
      <c r="I19" s="73" t="inlineStr">
        <is>
          <t xml:space="preserve">User is still on Transfer page </t>
        </is>
      </c>
      <c r="J19" s="73" t="inlineStr">
        <is>
          <t>User can perform transfer</t>
        </is>
      </c>
      <c r="K19" s="74" t="inlineStr">
        <is>
          <t>PASS</t>
        </is>
      </c>
      <c r="L19" s="74" t="inlineStr">
        <is>
          <t>HIGH</t>
        </is>
      </c>
      <c r="M19" s="58" t="inlineStr">
        <is>
          <t>KIMA</t>
        </is>
      </c>
      <c r="N19" s="75" t="n"/>
      <c r="O19" s="53" t="inlineStr">
        <is>
          <t>Window OS</t>
        </is>
      </c>
      <c r="P19" s="76" t="inlineStr">
        <is>
          <t>Edge</t>
        </is>
      </c>
      <c r="Q19" s="70" t="n"/>
      <c r="R19" s="70" t="n"/>
      <c r="S19" s="77" t="inlineStr">
        <is>
          <t>Run</t>
        </is>
      </c>
    </row>
    <row r="20" ht="15.75" customHeight="1" s="51">
      <c r="A20" s="67" t="inlineStr">
        <is>
          <t>TC_012</t>
        </is>
      </c>
      <c r="B20" s="79" t="inlineStr">
        <is>
          <t>Transfer</t>
        </is>
      </c>
      <c r="C20" s="72" t="inlineStr">
        <is>
          <t>The Existing template route lists the destinations saved on the account</t>
        </is>
      </c>
      <c r="D20" s="70" t="inlineStr">
        <is>
          <t>Positive</t>
        </is>
      </c>
      <c r="E20" s="71" t="inlineStr">
        <is>
          <t>User is on Transfer page</t>
        </is>
      </c>
      <c r="F20" s="72" t="inlineStr">
        <is>
          <t>-Given I log into the UMPay application with valid email credentials using "&lt;row&gt;" of "&lt;excelSheetName&gt;" of "&lt;excelFileName&gt;"
-When I open the Transfer hub
-And I take the "UMPay to Existing template" route from the Transfer hub
-Then the saved templates should be listed
-And every saved template should mask the account it pays</t>
        </is>
      </c>
      <c r="G20" s="72" t="inlineStr">
        <is>
          <t>Valid UMPay User</t>
        </is>
      </c>
      <c r="H20" s="73" t="inlineStr">
        <is>
          <t>User should be able to see templates</t>
        </is>
      </c>
      <c r="I20" s="73" t="inlineStr">
        <is>
          <t xml:space="preserve">User is still on Transfer page </t>
        </is>
      </c>
      <c r="J20" s="73" t="inlineStr">
        <is>
          <t>User can see templates</t>
        </is>
      </c>
      <c r="K20" s="74" t="inlineStr">
        <is>
          <t>PASS</t>
        </is>
      </c>
      <c r="L20" s="74" t="inlineStr">
        <is>
          <t>HIGH</t>
        </is>
      </c>
      <c r="M20" s="58" t="inlineStr">
        <is>
          <t>KIMA</t>
        </is>
      </c>
      <c r="N20" s="75" t="n"/>
      <c r="O20" s="53" t="inlineStr">
        <is>
          <t>Window OS</t>
        </is>
      </c>
      <c r="P20" s="76" t="inlineStr">
        <is>
          <t>Edge</t>
        </is>
      </c>
      <c r="Q20" s="70" t="n"/>
      <c r="R20" s="70" t="n"/>
      <c r="S20" s="77" t="inlineStr">
        <is>
          <t>Run</t>
        </is>
      </c>
    </row>
    <row r="21" ht="15.75" customHeight="1" s="51">
      <c r="A21" s="67" t="inlineStr">
        <is>
          <t>TC_013</t>
        </is>
      </c>
      <c r="B21" s="79" t="inlineStr">
        <is>
          <t>Transfer</t>
        </is>
      </c>
      <c r="C21" s="72" t="inlineStr">
        <is>
          <t>A transfer to a saved template is sent</t>
        </is>
      </c>
      <c r="D21" s="70" t="inlineStr">
        <is>
          <t>Positive</t>
        </is>
      </c>
      <c r="E21" s="71" t="inlineStr">
        <is>
          <t>User is on Transfer page</t>
        </is>
      </c>
      <c r="F21" s="72" t="inlineStr">
        <is>
          <t>-Given I log into the UMPay application with valid email credentials using "&lt;row&gt;" of "&lt;excelSheetName&gt;" of "&lt;excelFileName&gt;"
-When I open the Transfer hub
-And I take the "UMPay to Existing template" route from the Transfer hub
-Then the saved templates should be listed
-When I choose the saved template in "&lt;row&gt;" of "&lt;excelSheetName&gt;" of "&lt;excelFileName&gt;"
-Then the UnionPay amount form should be shown
-And the transfer should be going to the account in "&lt;row&gt;" of "&lt;excelSheetName&gt;" of "&lt;excelFileName&gt;"
-When I enter the stated minimum as the UnionPay amount
-And I send the transfer, which moves real money
-Then the transfer should be accepted</t>
        </is>
      </c>
      <c r="G21" s="72" t="inlineStr">
        <is>
          <t>Valid UMPay User</t>
        </is>
      </c>
      <c r="H21" s="73" t="inlineStr">
        <is>
          <t>User should be able to see templates</t>
        </is>
      </c>
      <c r="I21" s="73" t="inlineStr">
        <is>
          <t xml:space="preserve">User is still on Transfer page </t>
        </is>
      </c>
      <c r="J21" s="73" t="inlineStr">
        <is>
          <t>User can see templates</t>
        </is>
      </c>
      <c r="K21" s="74" t="inlineStr">
        <is>
          <t>PASS</t>
        </is>
      </c>
      <c r="L21" s="74" t="inlineStr">
        <is>
          <t>HIGH</t>
        </is>
      </c>
      <c r="M21" s="58" t="inlineStr">
        <is>
          <t>KIMA</t>
        </is>
      </c>
      <c r="N21" s="75" t="n"/>
      <c r="O21" s="53" t="inlineStr">
        <is>
          <t>Window OS</t>
        </is>
      </c>
      <c r="P21" s="76" t="inlineStr">
        <is>
          <t>Edge</t>
        </is>
      </c>
      <c r="Q21" s="70" t="n"/>
      <c r="R21" s="70" t="n"/>
      <c r="S21" s="77" t="inlineStr">
        <is>
          <t>Run</t>
        </is>
      </c>
    </row>
  </sheetData>
  <dataValidations count="7">
    <dataValidation sqref="K9:K21" showDropDown="0" showInputMessage="0" showErrorMessage="1" allowBlank="1" type="list" operator="between">
      <formula1>"PASS,FAIL,PENDING"</formula1>
      <formula2>0</formula2>
    </dataValidation>
    <dataValidation sqref="P9:P21" showDropDown="0" showInputMessage="0" showErrorMessage="1" allowBlank="1" type="list" operator="between">
      <formula1>METADATA!$H$2:$H$8</formula1>
      <formula2>0</formula2>
    </dataValidation>
    <dataValidation sqref="O9:O21" showDropDown="0" showInputMessage="0" showErrorMessage="1" allowBlank="1" type="list" operator="between">
      <formula1>METADATA!$J$2:$J$7</formula1>
      <formula2>0</formula2>
    </dataValidation>
    <dataValidation sqref="D9:D21" showDropDown="0" showInputMessage="0" showErrorMessage="1" allowBlank="1" type="list" operator="between">
      <formula1>METADATA!$N$2:$N$3</formula1>
      <formula2>0</formula2>
    </dataValidation>
    <dataValidation sqref="B4 M9:M21" showDropDown="0" showInputMessage="0" showErrorMessage="1" allowBlank="1" type="list" operator="between">
      <formula1>METADATA!$F$2:$F$4</formula1>
      <formula2>0</formula2>
    </dataValidation>
    <dataValidation sqref="L9:L21" showDropDown="0" showInputMessage="0" showErrorMessage="1" allowBlank="1" type="list" operator="between">
      <formula1>"HIGH,MEDIUM,LOW"</formula1>
      <formula2>0</formula2>
    </dataValidation>
    <dataValidation sqref="B1" showDropDown="0" showInputMessage="0" showErrorMessage="1" allowBlank="1" type="list" operator="between">
      <formula1>"WPAY,UMPay,OFL,UNCS"</formula1>
      <formula2>0</formula2>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 xmlns:r="http://schemas.openxmlformats.org/officeDocument/2006/relationships" ref="S20" r:id="rId12"/>
    <hyperlink xmlns:r="http://schemas.openxmlformats.org/officeDocument/2006/relationships" ref="S21" r:id="rId13"/>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T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RowHeight="15.75" zeroHeight="0" outlineLevelRow="0"/>
  <cols>
    <col width="12.63" customWidth="1" style="50" min="1" max="2"/>
    <col width="27.12" customWidth="1" style="50" min="3" max="3"/>
    <col width="12.63" customWidth="1" style="50" min="4"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Transfer</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46170</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46170</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Convert</t>
        </is>
      </c>
      <c r="C9" s="72" t="inlineStr">
        <is>
          <t>Money is converted between two wallets</t>
        </is>
      </c>
      <c r="D9" s="70" t="inlineStr">
        <is>
          <t>Positive</t>
        </is>
      </c>
      <c r="E9" s="71" t="inlineStr">
        <is>
          <t>User is on Admin Team Page.</t>
        </is>
      </c>
      <c r="F9" s="72" t="inlineStr">
        <is>
          <t>-Given I log into the UMPay application with valid email credentials using "&lt;row&gt;" of "&lt;excelSheetName&gt;" of "&lt;excelFileName&gt;"
-When I navigate to the Convert page
-And I convert the amount in "&lt;row&gt;" of "&lt;excelSheetName&gt;" of "&lt;excelFileName&gt;"
-Then the conversion should be confirmed with the message in "&lt;row&gt;" of "&lt;excelSheetName&gt;" of "&lt;excelFileName&gt;"
-And the source wallet balance should have gone down by the converted amount</t>
        </is>
      </c>
      <c r="G9" s="72" t="inlineStr">
        <is>
          <t>Valid UMPay user</t>
        </is>
      </c>
      <c r="H9" s="73" t="inlineStr">
        <is>
          <t>User should be able to convert money between wallets</t>
        </is>
      </c>
      <c r="I9" s="73" t="inlineStr">
        <is>
          <t>User is still on convert page</t>
        </is>
      </c>
      <c r="J9" s="73" t="inlineStr">
        <is>
          <t>User can convert money between wallets</t>
        </is>
      </c>
      <c r="K9" s="74" t="inlineStr">
        <is>
          <t>PASS</t>
        </is>
      </c>
      <c r="L9" s="74" t="inlineStr">
        <is>
          <t>HIGH</t>
        </is>
      </c>
      <c r="M9" s="58" t="inlineStr">
        <is>
          <t>KIMA</t>
        </is>
      </c>
      <c r="N9" s="75" t="n"/>
      <c r="O9" s="53" t="inlineStr">
        <is>
          <t>Window OS</t>
        </is>
      </c>
      <c r="P9" s="76" t="inlineStr">
        <is>
          <t>Edge</t>
        </is>
      </c>
      <c r="Q9" s="70" t="n"/>
      <c r="R9" s="70" t="n"/>
      <c r="S9" s="77" t="inlineStr">
        <is>
          <t>Run</t>
        </is>
      </c>
    </row>
    <row r="10" ht="15.75" customHeight="1" s="51">
      <c r="A10" s="67" t="inlineStr">
        <is>
          <t>TC_002</t>
        </is>
      </c>
      <c r="B10" s="79" t="inlineStr">
        <is>
          <t>Convert</t>
        </is>
      </c>
      <c r="C10" s="72" t="inlineStr">
        <is>
          <t>Every wallet converts into every other wallet</t>
        </is>
      </c>
      <c r="D10" s="70" t="inlineStr">
        <is>
          <t>Positive</t>
        </is>
      </c>
      <c r="E10" s="71" t="inlineStr">
        <is>
          <t>User is on Admin Team Page.</t>
        </is>
      </c>
      <c r="F10" s="72" t="inlineStr">
        <is>
          <t xml:space="preserve">-Given I log into the UMPay application with valid email credentials using "&lt;row&gt;" of "&lt;excelSheetName&gt;" of "&lt;excelFileName&gt;"
-When I navigate to the Convert page
-Then converting the amount in "&lt;row&gt;" of "&lt;excelSheetName&gt;" of "&lt;excelFileName&gt;" into every other wallet, ending with "HKD", should succeed
</t>
        </is>
      </c>
      <c r="G10" s="72" t="inlineStr">
        <is>
          <t>Valid UMPay user</t>
        </is>
      </c>
      <c r="H10" s="73" t="inlineStr">
        <is>
          <t>User should be able to convert money between each wallet pair</t>
        </is>
      </c>
      <c r="I10" s="73" t="inlineStr">
        <is>
          <t>User is still on convert page</t>
        </is>
      </c>
      <c r="J10" s="73" t="inlineStr">
        <is>
          <t>User can convert money between each wallet pair</t>
        </is>
      </c>
      <c r="K10" s="74" t="inlineStr">
        <is>
          <t>PASS</t>
        </is>
      </c>
      <c r="L10" s="74" t="inlineStr">
        <is>
          <t>HIGH</t>
        </is>
      </c>
      <c r="M10" s="58" t="inlineStr">
        <is>
          <t>KIMA</t>
        </is>
      </c>
      <c r="N10" s="75" t="n"/>
      <c r="O10" s="53" t="inlineStr">
        <is>
          <t>Window OS</t>
        </is>
      </c>
      <c r="P10" s="76" t="inlineStr">
        <is>
          <t>Edge</t>
        </is>
      </c>
      <c r="Q10" s="70" t="n"/>
      <c r="R10" s="70" t="n"/>
      <c r="S10" s="77" t="inlineStr">
        <is>
          <t>Run</t>
        </is>
      </c>
    </row>
    <row r="11" ht="15.75" customHeight="1" s="51">
      <c r="A11" s="67" t="inlineStr">
        <is>
          <t>TC_003</t>
        </is>
      </c>
      <c r="B11" s="79" t="inlineStr">
        <is>
          <t>Convert</t>
        </is>
      </c>
      <c r="C11" s="72" t="inlineStr">
        <is>
          <t>The convert form offers a wallet for every currency the account holds</t>
        </is>
      </c>
      <c r="D11" s="70" t="inlineStr">
        <is>
          <t>Positive</t>
        </is>
      </c>
      <c r="E11" s="71" t="inlineStr">
        <is>
          <t>User is on Admin Team Page.</t>
        </is>
      </c>
      <c r="F11" s="72" t="inlineStr">
        <is>
          <t>-Given I log into the UMPay application with valid email credentials using "&lt;row&gt;" of "&lt;excelSheetName&gt;" of "&lt;excelFileName&gt;"
-When I navigate to the Convert page
-Then the convert currency list should offer "BDT, BRL, HKD, IDR, MXN, MYR, PHP, THB, USD, VND"</t>
        </is>
      </c>
      <c r="G11" s="72" t="inlineStr">
        <is>
          <t>Valid UMPay user</t>
        </is>
      </c>
      <c r="H11" s="73" t="inlineStr">
        <is>
          <t>User should be able to see all wallets</t>
        </is>
      </c>
      <c r="I11" s="73" t="inlineStr">
        <is>
          <t>User is still on convert page</t>
        </is>
      </c>
      <c r="J11" s="73" t="inlineStr">
        <is>
          <t>User can all wallets</t>
        </is>
      </c>
      <c r="K11" s="74" t="inlineStr">
        <is>
          <t>PASS</t>
        </is>
      </c>
      <c r="L11" s="74" t="inlineStr">
        <is>
          <t>HIGH</t>
        </is>
      </c>
      <c r="M11" s="58" t="inlineStr">
        <is>
          <t>KIMA</t>
        </is>
      </c>
      <c r="N11" s="75" t="n"/>
      <c r="O11" s="53" t="inlineStr">
        <is>
          <t>Window OS</t>
        </is>
      </c>
      <c r="P11" s="76" t="inlineStr">
        <is>
          <t>Edge</t>
        </is>
      </c>
      <c r="Q11" s="70" t="n"/>
      <c r="R11" s="70" t="n"/>
      <c r="S11" s="77" t="inlineStr">
        <is>
          <t>Run</t>
        </is>
      </c>
    </row>
    <row r="12" ht="15.75" customHeight="1" s="51">
      <c r="A12" s="67" t="inlineStr">
        <is>
          <t>TC_004</t>
        </is>
      </c>
      <c r="B12" s="79" t="inlineStr">
        <is>
          <t>Convert</t>
        </is>
      </c>
      <c r="C12" s="72" t="inlineStr">
        <is>
          <t>The amount box holds a conversion to the pair's stated limits</t>
        </is>
      </c>
      <c r="D12" s="70" t="inlineStr">
        <is>
          <t>Positive</t>
        </is>
      </c>
      <c r="E12" s="71" t="inlineStr">
        <is>
          <t>User is on Admin Team Page.</t>
        </is>
      </c>
      <c r="F12" s="72" t="inlineStr">
        <is>
          <t>-GGiven I log into the UMPay application with valid email credentials using "&lt;row&gt;" of "&lt;excelSheetName&gt;" of "&lt;excelFileName&gt;"
-When I navigate to the Convert page
-And I choose to convert from "HKD" to "PHP"
-And I enter one below the stated minimum as the convert amount
-Then the convert amount should be refused with "Please input an amount of limit min or above!"
-When I enter one above the stated maximum as the convert amount
-Then the convert amount should be refused with "Please input an amount of limit max or below!"
-When I enter the stated minimum as the convert amount
-Then the convert amount should be accepted
-And the form should offer to convert</t>
        </is>
      </c>
      <c r="G12" s="72" t="inlineStr">
        <is>
          <t>Valid UMPay user</t>
        </is>
      </c>
      <c r="H12" s="73" t="inlineStr">
        <is>
          <t>All the set limits should work as expected</t>
        </is>
      </c>
      <c r="I12" s="73" t="inlineStr">
        <is>
          <t>User is still on convert page</t>
        </is>
      </c>
      <c r="J12" s="73" t="inlineStr">
        <is>
          <t>All the set limits are working as expected</t>
        </is>
      </c>
      <c r="K12" s="74" t="inlineStr">
        <is>
          <t>PASS</t>
        </is>
      </c>
      <c r="L12" s="74" t="inlineStr">
        <is>
          <t>HIGH</t>
        </is>
      </c>
      <c r="M12" s="58" t="inlineStr">
        <is>
          <t>KIMA</t>
        </is>
      </c>
      <c r="N12" s="75" t="n"/>
      <c r="O12" s="53" t="inlineStr">
        <is>
          <t>Window OS</t>
        </is>
      </c>
      <c r="P12" s="76" t="inlineStr">
        <is>
          <t>Edge</t>
        </is>
      </c>
      <c r="Q12" s="70" t="n"/>
      <c r="R12" s="70" t="n"/>
      <c r="S12" s="77" t="inlineStr">
        <is>
          <t>Run</t>
        </is>
      </c>
    </row>
    <row r="13" ht="15.75" customHeight="1" s="51">
      <c r="A13" s="67" t="inlineStr">
        <is>
          <t>TC_005</t>
        </is>
      </c>
      <c r="B13" s="79" t="inlineStr">
        <is>
          <t>Convert</t>
        </is>
      </c>
      <c r="C13" s="72" t="inlineStr">
        <is>
          <t>The conversion history opens from the Convert page</t>
        </is>
      </c>
      <c r="D13" s="70" t="inlineStr">
        <is>
          <t>Positive</t>
        </is>
      </c>
      <c r="E13" s="71" t="inlineStr">
        <is>
          <t>User is on Admin Team Page.</t>
        </is>
      </c>
      <c r="F13" s="72" t="inlineStr">
        <is>
          <t>-Given I log into the UMPay application with valid email credentials using "&lt;row&gt;" of "&lt;excelSheetName&gt;" of "&lt;excelFileName&gt;"
-When I navigate to the Convert page
-And I open the conversion history
-Then the conversion history should be shown
-And every conversion listed should name an amount, a time, what it became and the rate</t>
        </is>
      </c>
      <c r="G13" s="72" t="inlineStr">
        <is>
          <t>Valid UMPay user</t>
        </is>
      </c>
      <c r="H13" s="73" t="inlineStr">
        <is>
          <t>User should be able to access history</t>
        </is>
      </c>
      <c r="I13" s="73" t="inlineStr">
        <is>
          <t>User is still on convert page</t>
        </is>
      </c>
      <c r="J13" s="73" t="inlineStr">
        <is>
          <t>User can access history</t>
        </is>
      </c>
      <c r="K13" s="74" t="inlineStr">
        <is>
          <t>PASS</t>
        </is>
      </c>
      <c r="L13" s="74" t="inlineStr">
        <is>
          <t>HIGH</t>
        </is>
      </c>
      <c r="M13" s="58" t="inlineStr">
        <is>
          <t>KIMA</t>
        </is>
      </c>
      <c r="N13" s="75" t="n"/>
      <c r="O13" s="53" t="inlineStr">
        <is>
          <t>Window OS</t>
        </is>
      </c>
      <c r="P13" s="76" t="inlineStr">
        <is>
          <t>Edge</t>
        </is>
      </c>
      <c r="Q13" s="70" t="n"/>
      <c r="R13" s="70" t="n"/>
      <c r="S13" s="77" t="inlineStr">
        <is>
          <t>Run</t>
        </is>
      </c>
    </row>
    <row r="14" ht="15.75" customHeight="1" s="51">
      <c r="A14" s="67" t="inlineStr">
        <is>
          <t>TC_006</t>
        </is>
      </c>
      <c r="B14" s="79" t="inlineStr">
        <is>
          <t>Convert</t>
        </is>
      </c>
      <c r="C14" s="72" t="inlineStr">
        <is>
          <t>A latest conversion appears at the top of the history</t>
        </is>
      </c>
      <c r="D14" s="70" t="inlineStr">
        <is>
          <t>Positive</t>
        </is>
      </c>
      <c r="E14" s="71" t="inlineStr">
        <is>
          <t>User is on Admin Team Page.</t>
        </is>
      </c>
      <c r="F14" s="72" t="inlineStr">
        <is>
          <t xml:space="preserve">-Given I log into the UMPay application with valid email credentials using "&lt;row&gt;" of "&lt;excelSheetName&gt;" of "&lt;excelFileName&gt;"
-When I navigate to the Convert page
-And I convert the amount in "&lt;row&gt;" of "&lt;excelSheetName&gt;" of "&lt;excelFileName&gt;"
-Then the conversion should be confirmed with the message in "&lt;row&gt;" of "&lt;excelSheetName&gt;" of "&lt;excelFileName&gt;"
-When I open the conversion history
-Then the conversion history should be shown
-And the newest entry should be the conversion just made in "&lt;row&gt;" of "&lt;excelSheetName&gt;" of "&lt;excelFileName&gt;"
</t>
        </is>
      </c>
      <c r="G14" s="72" t="inlineStr">
        <is>
          <t>Valid UMPay user</t>
        </is>
      </c>
      <c r="H14" s="73" t="inlineStr">
        <is>
          <t>Latest conversion should appear at the top</t>
        </is>
      </c>
      <c r="I14" s="73" t="inlineStr">
        <is>
          <t>User is still on convert page</t>
        </is>
      </c>
      <c r="J14" s="73" t="inlineStr">
        <is>
          <t>Latest conversion appears at the top</t>
        </is>
      </c>
      <c r="K14" s="74" t="inlineStr">
        <is>
          <t>PASS</t>
        </is>
      </c>
      <c r="L14" s="74" t="inlineStr">
        <is>
          <t>HIGH</t>
        </is>
      </c>
      <c r="M14" s="58" t="inlineStr">
        <is>
          <t>KIMA</t>
        </is>
      </c>
      <c r="N14" s="75" t="n"/>
      <c r="O14" s="53" t="inlineStr">
        <is>
          <t>Window OS</t>
        </is>
      </c>
      <c r="P14" s="76" t="inlineStr">
        <is>
          <t>Edge</t>
        </is>
      </c>
      <c r="Q14" s="70" t="n"/>
      <c r="R14" s="70" t="n"/>
      <c r="S14" s="77" t="inlineStr">
        <is>
          <t>Run</t>
        </is>
      </c>
    </row>
    <row r="15" ht="15.75" customHeight="1" s="51">
      <c r="A15" s="67" t="inlineStr">
        <is>
          <t>TC_007</t>
        </is>
      </c>
      <c r="B15" s="79" t="inlineStr">
        <is>
          <t>Convert</t>
        </is>
      </c>
      <c r="C15" s="72" t="inlineStr">
        <is>
          <t>Each conversion receipt in the history can be opened</t>
        </is>
      </c>
      <c r="D15" s="70" t="inlineStr">
        <is>
          <t>Positive</t>
        </is>
      </c>
      <c r="E15" s="71" t="inlineStr">
        <is>
          <t>User is on Admin Team Page.</t>
        </is>
      </c>
      <c r="F15" s="72" t="inlineStr">
        <is>
          <t>-Given I log into the UMPay application with valid email credentials using "&lt;row&gt;" of "&lt;excelSheetName&gt;" of "&lt;excelFileName&gt;"
-When I navigate to the Convert page
-And I open the conversion history
-Then the conversion history should be shown
-And each of the first 3 conversions should open a receipt that matches its entry</t>
        </is>
      </c>
      <c r="G15" s="72" t="inlineStr">
        <is>
          <t>Valid UMPay user</t>
        </is>
      </c>
      <c r="H15" s="73" t="inlineStr">
        <is>
          <t>User should be able to open each conversion history receipt</t>
        </is>
      </c>
      <c r="I15" s="73" t="inlineStr">
        <is>
          <t>User is still on convert page</t>
        </is>
      </c>
      <c r="J15" s="73" t="inlineStr">
        <is>
          <t>Usercan open each conversion history receipt</t>
        </is>
      </c>
      <c r="K15" s="74" t="inlineStr">
        <is>
          <t>PASS</t>
        </is>
      </c>
      <c r="L15" s="74" t="inlineStr">
        <is>
          <t>HIGH</t>
        </is>
      </c>
      <c r="M15" s="58" t="inlineStr">
        <is>
          <t>KIMA</t>
        </is>
      </c>
      <c r="N15" s="75" t="n"/>
      <c r="O15" s="53" t="inlineStr">
        <is>
          <t>Window OS</t>
        </is>
      </c>
      <c r="P15" s="76" t="inlineStr">
        <is>
          <t>Edge</t>
        </is>
      </c>
      <c r="Q15" s="70" t="n"/>
      <c r="R15" s="70" t="n"/>
      <c r="S15" s="77" t="inlineStr">
        <is>
          <t>Run</t>
        </is>
      </c>
    </row>
    <row r="16" ht="15.75" customHeight="1" s="51">
      <c r="A16" s="67" t="inlineStr">
        <is>
          <t>TC_008</t>
        </is>
      </c>
      <c r="B16" s="79" t="inlineStr">
        <is>
          <t>Convert</t>
        </is>
      </c>
      <c r="C16" s="72" t="inlineStr">
        <is>
          <t>A receipt displays what was converted, what it became, the rate and when</t>
        </is>
      </c>
      <c r="D16" s="70" t="inlineStr">
        <is>
          <t>Positive</t>
        </is>
      </c>
      <c r="E16" s="71" t="inlineStr">
        <is>
          <t>User is on Admin Team Page.</t>
        </is>
      </c>
      <c r="F16" s="72" t="inlineStr">
        <is>
          <t>-Given I log into the UMPay application with valid email credentials using "&lt;row&gt;" of "&lt;excelSheetName&gt;" of "&lt;excelFileName&gt;"
-When I navigate to the Convert page
-And I open the conversion history
-And I open the newest conversion
-Then the receipt should name what was converted, what it became, the rate and when</t>
        </is>
      </c>
      <c r="G16" s="72" t="inlineStr">
        <is>
          <t>Valid UMPay user</t>
        </is>
      </c>
      <c r="H16" s="73" t="inlineStr">
        <is>
          <t>Each receipt should display details correctly</t>
        </is>
      </c>
      <c r="I16" s="73" t="inlineStr">
        <is>
          <t>User is still on convert page</t>
        </is>
      </c>
      <c r="J16" s="73" t="inlineStr">
        <is>
          <t>Each receipt displays details correctly</t>
        </is>
      </c>
      <c r="K16" s="74" t="inlineStr">
        <is>
          <t>PASS</t>
        </is>
      </c>
      <c r="L16" s="74" t="inlineStr">
        <is>
          <t>HIGH</t>
        </is>
      </c>
      <c r="M16" s="58" t="inlineStr">
        <is>
          <t>KIMA</t>
        </is>
      </c>
      <c r="N16" s="75" t="n"/>
      <c r="O16" s="53" t="inlineStr">
        <is>
          <t>Window OS</t>
        </is>
      </c>
      <c r="P16" s="76" t="inlineStr">
        <is>
          <t>Edge</t>
        </is>
      </c>
      <c r="Q16" s="70" t="n"/>
      <c r="R16" s="70" t="n"/>
      <c r="S16" s="77" t="inlineStr">
        <is>
          <t>Run</t>
        </is>
      </c>
    </row>
    <row r="17" ht="15.75" customHeight="1" s="51">
      <c r="A17" s="67" t="inlineStr">
        <is>
          <t>TC_009</t>
        </is>
      </c>
      <c r="B17" s="79" t="inlineStr">
        <is>
          <t>Convert</t>
        </is>
      </c>
      <c r="C17" s="72" t="inlineStr">
        <is>
          <t>A receipt can be downloaded</t>
        </is>
      </c>
      <c r="D17" s="70" t="inlineStr">
        <is>
          <t>Positive</t>
        </is>
      </c>
      <c r="E17" s="71" t="inlineStr">
        <is>
          <t>User is on Admin Team Page.</t>
        </is>
      </c>
      <c r="F17" s="72" t="inlineStr">
        <is>
          <t>-Given I log into the UMPay application with valid email credentials using "&lt;row&gt;" of "&lt;excelSheetName&gt;" of "&lt;excelFileName&gt;"
-When I navigate to the Convert page
-And I open the conversion history
-And I open the newest conversion
-Then downloading the receipt should produce a file</t>
        </is>
      </c>
      <c r="G17" s="72" t="inlineStr">
        <is>
          <t>Valid UMPay user</t>
        </is>
      </c>
      <c r="H17" s="73" t="inlineStr">
        <is>
          <t>User should be able to download a receipt</t>
        </is>
      </c>
      <c r="I17" s="73" t="inlineStr">
        <is>
          <t>User is still on convert page</t>
        </is>
      </c>
      <c r="J17" s="73" t="inlineStr">
        <is>
          <t>User can download a receipt</t>
        </is>
      </c>
      <c r="K17" s="74" t="inlineStr">
        <is>
          <t>PASS</t>
        </is>
      </c>
      <c r="L17" s="74" t="inlineStr">
        <is>
          <t>HIGH</t>
        </is>
      </c>
      <c r="M17" s="58" t="inlineStr">
        <is>
          <t>KIMA</t>
        </is>
      </c>
      <c r="N17" s="75" t="n"/>
      <c r="O17" s="53" t="inlineStr">
        <is>
          <t>Window OS</t>
        </is>
      </c>
      <c r="P17" s="76" t="inlineStr">
        <is>
          <t>Edge</t>
        </is>
      </c>
      <c r="Q17" s="70" t="n"/>
      <c r="R17" s="70" t="n"/>
      <c r="S17" s="77" t="inlineStr">
        <is>
          <t>Run</t>
        </is>
      </c>
    </row>
    <row r="18" ht="15.75" customHeight="1" s="51">
      <c r="A18" s="67" t="inlineStr">
        <is>
          <t>TC_010</t>
        </is>
      </c>
      <c r="B18" s="79" t="inlineStr">
        <is>
          <t>Convert</t>
        </is>
      </c>
      <c r="C18" s="72" t="inlineStr">
        <is>
          <t>A receipt can be shared</t>
        </is>
      </c>
      <c r="D18" s="70" t="inlineStr">
        <is>
          <t>Positive</t>
        </is>
      </c>
      <c r="E18" s="71" t="inlineStr">
        <is>
          <t>User is on Admin Team Page.</t>
        </is>
      </c>
      <c r="F18" s="72" t="inlineStr">
        <is>
          <t>-Given I log into the UMPay application with valid email credentials using "&lt;row&gt;" of "&lt;excelSheetName&gt;" of "&lt;excelFileName&gt;"
-When I navigate to the Convert page
-And I open the conversion history
-And I open the newest conversion
-When I share the receipt
-Then the sharing choices should offer a way to copy it</t>
        </is>
      </c>
      <c r="G18" s="72" t="inlineStr">
        <is>
          <t>Valid UMPay user</t>
        </is>
      </c>
      <c r="H18" s="73" t="inlineStr">
        <is>
          <t>User should be able to share a receipt</t>
        </is>
      </c>
      <c r="I18" s="73" t="inlineStr">
        <is>
          <t>User is still on convert page</t>
        </is>
      </c>
      <c r="J18" s="73" t="inlineStr">
        <is>
          <t>User can share a receipt</t>
        </is>
      </c>
      <c r="K18" s="74" t="inlineStr">
        <is>
          <t>PASS</t>
        </is>
      </c>
      <c r="L18" s="74" t="inlineStr">
        <is>
          <t>HIGH</t>
        </is>
      </c>
      <c r="M18" s="58" t="inlineStr">
        <is>
          <t>KIMA</t>
        </is>
      </c>
      <c r="N18" s="75" t="n"/>
      <c r="O18" s="53" t="inlineStr">
        <is>
          <t>Window OS</t>
        </is>
      </c>
      <c r="P18" s="76" t="inlineStr">
        <is>
          <t>Edge</t>
        </is>
      </c>
      <c r="Q18" s="70" t="n"/>
      <c r="R18" s="70" t="n"/>
      <c r="S18" s="77" t="inlineStr">
        <is>
          <t>Run</t>
        </is>
      </c>
    </row>
    <row r="19" ht="15.75" customHeight="1" s="51">
      <c r="A19" s="67" t="inlineStr">
        <is>
          <t>TC_011</t>
        </is>
      </c>
      <c r="B19" s="79" t="inlineStr">
        <is>
          <t>Convert</t>
        </is>
      </c>
      <c r="C19" s="72" t="inlineStr">
        <is>
          <t>More than the wallet holds cannot be converted</t>
        </is>
      </c>
      <c r="D19" s="70" t="inlineStr">
        <is>
          <t>Negative</t>
        </is>
      </c>
      <c r="E19" s="71" t="inlineStr">
        <is>
          <t>User is on the Convert page converting HKD to PHP</t>
        </is>
      </c>
      <c r="F19" s="72" t="inlineStr">
        <is>
          <t>-Given I log into the UMPay application with valid email credentials using "&lt;row&gt;" of "&lt;excelSheetName&gt;" of "&lt;excelFileName&gt;"
-When I navigate to the Convert page
-And I choose to convert from "HKD" to "PHP"
-And I enter more than the wallet holds as the convert amount
-Then the convert amount should be accepted
-But the form should not offer to convert</t>
        </is>
      </c>
      <c r="G19" s="72" t="inlineStr">
        <is>
          <t>Amount: one more than the wallet holds</t>
        </is>
      </c>
      <c r="H19" s="73" t="inlineStr">
        <is>
          <t>The form should take the figure into the box but refuse to convert it, since the wallet cannot cover it</t>
        </is>
      </c>
      <c r="I19" s="73" t="inlineStr">
        <is>
          <t>Nothing is converted</t>
        </is>
      </c>
      <c r="J19" s="73" t="inlineStr">
        <is>
          <t>The HKD wallet held 7,943.51 and the form was asked to convert 7,944.51. The box took the figure and Convert stayed disabled, so the conversion could not be started</t>
        </is>
      </c>
      <c r="K19" s="74" t="inlineStr">
        <is>
          <t>PASS</t>
        </is>
      </c>
      <c r="L19" s="74" t="inlineStr">
        <is>
          <t>HIGH</t>
        </is>
      </c>
      <c r="M19" s="58" t="inlineStr">
        <is>
          <t>KIMA</t>
        </is>
      </c>
      <c r="N19" s="103" t="n">
        <v>46273</v>
      </c>
      <c r="O19" s="53" t="inlineStr">
        <is>
          <t>Window OS</t>
        </is>
      </c>
      <c r="P19" s="76" t="inlineStr">
        <is>
          <t>Chromium</t>
        </is>
      </c>
      <c r="Q19" s="70" t="n"/>
      <c r="R19" s="70" t="n"/>
      <c r="S19" s="77" t="inlineStr">
        <is>
          <t>Run</t>
        </is>
      </c>
    </row>
  </sheetData>
  <dataValidations count="7">
    <dataValidation sqref="K9:K19" showDropDown="0" showInputMessage="0" showErrorMessage="1" allowBlank="1" type="list" operator="between">
      <formula1>"PASS,FAIL,PENDING"</formula1>
      <formula2>0</formula2>
    </dataValidation>
    <dataValidation sqref="P9:P19" showDropDown="0" showInputMessage="0" showErrorMessage="1" allowBlank="1" type="list" operator="between">
      <formula1>METADATA!$H$2:$H$8</formula1>
      <formula2>0</formula2>
    </dataValidation>
    <dataValidation sqref="O9:O19" showDropDown="0" showInputMessage="0" showErrorMessage="1" allowBlank="1" type="list" operator="between">
      <formula1>METADATA!$J$2:$J$7</formula1>
      <formula2>0</formula2>
    </dataValidation>
    <dataValidation sqref="D9:D19" showDropDown="0" showInputMessage="0" showErrorMessage="1" allowBlank="1" type="list" operator="between">
      <formula1>METADATA!$N$2:$N$3</formula1>
      <formula2>0</formula2>
    </dataValidation>
    <dataValidation sqref="B4 M9:M19" showDropDown="0" showInputMessage="0" showErrorMessage="1" allowBlank="1" type="list" operator="between">
      <formula1>METADATA!$F$2:$F$4</formula1>
      <formula2>0</formula2>
    </dataValidation>
    <dataValidation sqref="L9:L19" showDropDown="0" showInputMessage="0" showErrorMessage="1" allowBlank="1" type="list" operator="between">
      <formula1>"HIGH,MEDIUM,LOW"</formula1>
      <formula2>0</formula2>
    </dataValidation>
    <dataValidation sqref="B1" showDropDown="0" showInputMessage="0" showErrorMessage="1" allowBlank="1" type="list" operator="between">
      <formula1>"WPAY,UMPay,OFL,UNCS"</formula1>
      <formula2>0</formula2>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T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International School Fee</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46170</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46170</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International School Fee</t>
        </is>
      </c>
      <c r="C9" s="72" t="inlineStr">
        <is>
          <t>A school fee is paid to a school typed in for the first time</t>
        </is>
      </c>
      <c r="D9" s="70" t="inlineStr">
        <is>
          <t>Positive</t>
        </is>
      </c>
      <c r="E9" s="71" t="inlineStr">
        <is>
          <t>User is on International School Fee Page.</t>
        </is>
      </c>
      <c r="F9" s="72" t="inlineStr">
        <is>
          <t>-Given I log into the UMPay application with valid email credentials using "&lt;row&gt;" of "&lt;excelSheetName&gt;" of "&lt;excelFileName&gt;"
-When I open International School Fees from the sidebar
-Then the school fee form should be shown
-When I enter the stated minimum as the school fee amount
-Then the form should work out the fee and what it comes to
-When I go on from the school fee amount
-Then the form should ask which school is being paid
-When I enter the school details in "&lt;row&gt;" of "&lt;excelSheetName&gt;" of "&lt;excelFileName&gt;"
-Then the school fee should be ready to send
-When I send the school fee, which moves real money
-Then the school fee should go through</t>
        </is>
      </c>
      <c r="G9" s="72" t="inlineStr">
        <is>
          <t>Valid UMPay user</t>
        </is>
      </c>
      <c r="H9" s="73" t="inlineStr">
        <is>
          <t>User should be able to transfer school fee for new entry</t>
        </is>
      </c>
      <c r="I9" s="73" t="inlineStr">
        <is>
          <t>User is still on International School Fee page</t>
        </is>
      </c>
      <c r="J9" s="73" t="inlineStr">
        <is>
          <t>User can transfer school fee for new entry</t>
        </is>
      </c>
      <c r="K9" s="74" t="inlineStr">
        <is>
          <t>PASS</t>
        </is>
      </c>
      <c r="L9" s="74" t="inlineStr">
        <is>
          <t>HIGH</t>
        </is>
      </c>
      <c r="M9" s="58" t="inlineStr">
        <is>
          <t>KIMA</t>
        </is>
      </c>
      <c r="N9" s="75" t="n"/>
      <c r="O9" s="53" t="inlineStr">
        <is>
          <t>Window OS</t>
        </is>
      </c>
      <c r="P9" s="76" t="inlineStr">
        <is>
          <t>Edge</t>
        </is>
      </c>
      <c r="Q9" s="70" t="n"/>
      <c r="R9" s="70" t="n"/>
      <c r="S9" s="77" t="inlineStr">
        <is>
          <t>Run</t>
        </is>
      </c>
    </row>
    <row r="10" ht="15.75" customHeight="1" s="51">
      <c r="A10" s="67" t="inlineStr">
        <is>
          <t>TC_002</t>
        </is>
      </c>
      <c r="B10" s="79" t="inlineStr">
        <is>
          <t>International School Fee</t>
        </is>
      </c>
      <c r="C10" s="72" t="inlineStr">
        <is>
          <t>A school fee is paid to a saved school</t>
        </is>
      </c>
      <c r="D10" s="70" t="inlineStr">
        <is>
          <t>Positive</t>
        </is>
      </c>
      <c r="E10" s="71" t="inlineStr">
        <is>
          <t>User is on International School Fee Page.</t>
        </is>
      </c>
      <c r="F10" s="72" t="inlineStr">
        <is>
          <t>-Given I log into the UMPay application with valid email credentials using "&lt;row&gt;" of "&lt;excelSheetName&gt;" of "&lt;excelFileName&gt;"
-When I open International School Fees from the sidebar
-Then the school fee form should be shown
-When I enter the stated minimum as the school fee amount
-Then the form should work out the fee and what it comes to
-When I go on from the school fee amount
-Then the form should ask which school is being paid
-When I open the schools saved on the account
-And I choose the school saved in "&lt;row&gt;" of "&lt;excelSheetName&gt;" of "&lt;excelFileName&gt;"
-Then the school and the student should be filled in from "&lt;row&gt;" of "&lt;excelSheetName&gt;" of "&lt;excelFileName&gt;"
-When I send the school fee, which moves real money
-Then the school fee should go through</t>
        </is>
      </c>
      <c r="G10" s="72" t="inlineStr">
        <is>
          <t>Valid UMPay user</t>
        </is>
      </c>
      <c r="H10" s="73" t="inlineStr">
        <is>
          <t>User should be able to transfer school fee for templates</t>
        </is>
      </c>
      <c r="I10" s="73" t="inlineStr">
        <is>
          <t>User is still on International School Fee page</t>
        </is>
      </c>
      <c r="J10" s="73" t="inlineStr">
        <is>
          <t>User can transfer school fee for templates</t>
        </is>
      </c>
      <c r="K10" s="74" t="inlineStr">
        <is>
          <t>PASS</t>
        </is>
      </c>
      <c r="L10" s="74" t="inlineStr">
        <is>
          <t>HIGH</t>
        </is>
      </c>
      <c r="M10" s="58" t="inlineStr">
        <is>
          <t>KIMA</t>
        </is>
      </c>
      <c r="N10" s="75" t="n"/>
      <c r="O10" s="53" t="inlineStr">
        <is>
          <t>Window OS</t>
        </is>
      </c>
      <c r="P10" s="76" t="inlineStr">
        <is>
          <t>Edge</t>
        </is>
      </c>
      <c r="Q10" s="70" t="n"/>
      <c r="R10" s="70" t="n"/>
      <c r="S10" s="77" t="inlineStr">
        <is>
          <t>Run</t>
        </is>
      </c>
    </row>
    <row r="11" ht="15.75" customHeight="1" s="51">
      <c r="A11" s="67" t="inlineStr">
        <is>
          <t>TC_003</t>
        </is>
      </c>
      <c r="B11" s="79" t="inlineStr">
        <is>
          <t>International School Fee</t>
        </is>
      </c>
      <c r="C11" s="72" t="inlineStr">
        <is>
          <t>Less than the stated minimum amount can not be sent</t>
        </is>
      </c>
      <c r="D11" s="70" t="inlineStr">
        <is>
          <t>Negative</t>
        </is>
      </c>
      <c r="E11" s="71" t="inlineStr">
        <is>
          <t>User is on International School Fee Page.</t>
        </is>
      </c>
      <c r="F11" s="72" t="inlineStr">
        <is>
          <t>-Given I log into the UMPay application with valid email credentials using "&lt;row&gt;" of "&lt;excelSheetName&gt;" of "&lt;excelFileName&gt;"
-When I open International School Fees from the sidebar
-Then the school fee form should be shown
-When I enter one below the stated minimum as the school fee amount
-And I go on from the school fee amount
-Then the form should not go on, and should say nothing about why</t>
        </is>
      </c>
      <c r="G11" s="72" t="inlineStr">
        <is>
          <t>Valid UMPay user</t>
        </is>
      </c>
      <c r="H11" s="73" t="inlineStr">
        <is>
          <t>User should not be able to transfer school fee</t>
        </is>
      </c>
      <c r="I11" s="73" t="inlineStr">
        <is>
          <t>User is still on International School Fee page</t>
        </is>
      </c>
      <c r="J11" s="73" t="inlineStr">
        <is>
          <t>User can not transfer school fee</t>
        </is>
      </c>
      <c r="K11" s="74" t="inlineStr">
        <is>
          <t>PASS</t>
        </is>
      </c>
      <c r="L11" s="74" t="inlineStr">
        <is>
          <t>HIGH</t>
        </is>
      </c>
      <c r="M11" s="58" t="inlineStr">
        <is>
          <t>KIMA</t>
        </is>
      </c>
      <c r="N11" s="75" t="n"/>
      <c r="O11" s="53" t="inlineStr">
        <is>
          <t>Window OS</t>
        </is>
      </c>
      <c r="P11" s="76" t="inlineStr">
        <is>
          <t>Edge</t>
        </is>
      </c>
      <c r="Q11" s="70" t="n"/>
      <c r="R11" s="70" t="n"/>
      <c r="S11" s="77" t="inlineStr">
        <is>
          <t>Run</t>
        </is>
      </c>
    </row>
    <row r="12" ht="15.75" customHeight="1" s="51">
      <c r="A12" s="67" t="inlineStr">
        <is>
          <t>TC_004</t>
        </is>
      </c>
      <c r="B12" s="79" t="inlineStr">
        <is>
          <t>International School Fee</t>
        </is>
      </c>
      <c r="C12" s="72" t="inlineStr">
        <is>
          <t>The sidebar opens the school fee form</t>
        </is>
      </c>
      <c r="D12" s="70" t="inlineStr">
        <is>
          <t>Positive</t>
        </is>
      </c>
      <c r="E12" s="71" t="inlineStr">
        <is>
          <t>User is signed in</t>
        </is>
      </c>
      <c r="F12" s="72" t="inlineStr">
        <is>
          <t>-Given I log into the UMPay application with valid email credentials using "&lt;row&gt;" of "&lt;excelSheetName&gt;" of "&lt;excelFileName&gt;"
-When I open International School Fees from the sidebar
-Then the school fee form should be shown
-And the school fee form should show the sending wallet and its balance
-And the school fee form should ask for an amount and a remark</t>
        </is>
      </c>
      <c r="G12" s="72" t="inlineStr">
        <is>
          <t>Valid UMPay user</t>
        </is>
      </c>
      <c r="H12" s="73" t="inlineStr">
        <is>
          <t>International School Fees in the sidebar should open the school fee form</t>
        </is>
      </c>
      <c r="I12" s="73" t="inlineStr">
        <is>
          <t>User is on the school fee form</t>
        </is>
      </c>
      <c r="J12" s="73" t="inlineStr">
        <is>
          <t>The sidebar opened the school fee form</t>
        </is>
      </c>
      <c r="K12" s="74" t="inlineStr">
        <is>
          <t>PASS</t>
        </is>
      </c>
      <c r="L12" s="74" t="inlineStr">
        <is>
          <t>HIGH</t>
        </is>
      </c>
      <c r="M12" s="58" t="inlineStr">
        <is>
          <t>KIMA</t>
        </is>
      </c>
      <c r="N12" s="103" t="n">
        <v>46273</v>
      </c>
      <c r="O12" s="53" t="inlineStr">
        <is>
          <t>Window OS</t>
        </is>
      </c>
      <c r="P12" s="76" t="inlineStr">
        <is>
          <t>Chromium</t>
        </is>
      </c>
      <c r="Q12" s="70" t="n"/>
      <c r="R12" s="70" t="n"/>
      <c r="S12" s="77" t="inlineStr">
        <is>
          <t>Run</t>
        </is>
      </c>
    </row>
    <row r="13" ht="15.75" customHeight="1" s="51">
      <c r="A13" s="67" t="inlineStr">
        <is>
          <t>TC_005</t>
        </is>
      </c>
      <c r="B13" s="79" t="inlineStr">
        <is>
          <t>International School Fee</t>
        </is>
      </c>
      <c r="C13" s="72" t="inlineStr">
        <is>
          <t>The form states the minimum it will take</t>
        </is>
      </c>
      <c r="D13" s="70" t="inlineStr">
        <is>
          <t>Positive</t>
        </is>
      </c>
      <c r="E13" s="71" t="inlineStr">
        <is>
          <t>User is on the school fee form</t>
        </is>
      </c>
      <c r="F13" s="72" t="inlineStr">
        <is>
          <t>-Given I log into the UMPay application with valid email credentials using "&lt;row&gt;" of "&lt;excelSheetName&gt;" of "&lt;excelFileName&gt;"
-When I open International School Fees from the sidebar
-Then the school fee form should be shown
-And the school fee form should state the minimum recorded in "&lt;row&gt;" of "&lt;excelSheetName&gt;" of "&lt;excelFileName&gt;"</t>
        </is>
      </c>
      <c r="G13" s="72" t="inlineStr">
        <is>
          <t>Minimum: 100 USD</t>
        </is>
      </c>
      <c r="H13" s="73" t="inlineStr">
        <is>
          <t>The form should state the minimum it will take, and it should be the minimum on record - a minimum that moves without anybody noticing is what this case exists to catch</t>
        </is>
      </c>
      <c r="I13" s="73" t="inlineStr">
        <is>
          <t>User is on the school fee form</t>
        </is>
      </c>
      <c r="J13" s="73" t="inlineStr">
        <is>
          <t>The form states a minimum of 100 USD. It had been recorded as 10, and this case caught the platform having raised it; the sheet now records 100</t>
        </is>
      </c>
      <c r="K13" s="74" t="inlineStr">
        <is>
          <t>PASS</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International School Fee</t>
        </is>
      </c>
      <c r="C14" s="72" t="inlineStr">
        <is>
          <t>An empty form cannot go on</t>
        </is>
      </c>
      <c r="D14" s="70" t="inlineStr">
        <is>
          <t>Negative</t>
        </is>
      </c>
      <c r="E14" s="71" t="inlineStr">
        <is>
          <t>User is on the school fee form</t>
        </is>
      </c>
      <c r="F14" s="72" t="inlineStr">
        <is>
          <t>-Given I log into the UMPay application with valid email credentials using "&lt;row&gt;" of "&lt;excelSheetName&gt;" of "&lt;excelFileName&gt;"
-When I open International School Fees from the sidebar
-Then the school fee form should be shown
-And the school fee transfer should not be ready to continue</t>
        </is>
      </c>
      <c r="G14" s="72" t="inlineStr">
        <is>
          <t>Nothing filled in</t>
        </is>
      </c>
      <c r="H14" s="73" t="inlineStr">
        <is>
          <t>An empty form should not be able to go on</t>
        </is>
      </c>
      <c r="I14" s="73" t="inlineStr">
        <is>
          <t>User is on the school fee form</t>
        </is>
      </c>
      <c r="J14" s="73" t="inlineStr">
        <is>
          <t>The empty form would not go on</t>
        </is>
      </c>
      <c r="K14" s="74" t="inlineStr">
        <is>
          <t>PASS</t>
        </is>
      </c>
      <c r="L14" s="74" t="inlineStr">
        <is>
          <t>HIGH</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International School Fee</t>
        </is>
      </c>
      <c r="C15" s="72" t="inlineStr">
        <is>
          <t>The form works out the fee and what the transfer comes to</t>
        </is>
      </c>
      <c r="D15" s="70" t="inlineStr">
        <is>
          <t>Positive</t>
        </is>
      </c>
      <c r="E15" s="71" t="inlineStr">
        <is>
          <t>User is on the school fee form</t>
        </is>
      </c>
      <c r="F15" s="72" t="inlineStr">
        <is>
          <t>-Given I log into the UMPay application with valid email credentials using "&lt;row&gt;" of "&lt;excelSheetName&gt;" of "&lt;excelFileName&gt;"
-When I open International School Fees from the sidebar
-Then the school fee form should be shown
-When I enter the stated minimum as the school fee amount
-Then the form should work out the fee and what it comes to
-And the school fee transfer should be ready to continue</t>
        </is>
      </c>
      <c r="G15" s="72" t="inlineStr">
        <is>
          <t>Amount: the stated minimum</t>
        </is>
      </c>
      <c r="H15" s="73" t="inlineStr">
        <is>
          <t>The form should work out the fee and what the transfer comes to, so somebody can see the cost before committing</t>
        </is>
      </c>
      <c r="I15" s="73" t="inlineStr">
        <is>
          <t>User is on the school fee form</t>
        </is>
      </c>
      <c r="J15" s="73" t="inlineStr">
        <is>
          <t>The form worked out the fee and what the transfer comes to</t>
        </is>
      </c>
      <c r="K15" s="74" t="inlineStr">
        <is>
          <t>PASS</t>
        </is>
      </c>
      <c r="L15" s="74" t="inlineStr">
        <is>
          <t>HIGH</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International School Fee</t>
        </is>
      </c>
      <c r="C16" s="72" t="inlineStr">
        <is>
          <t>More than the wallet holds is carried past the amount step unchecked</t>
        </is>
      </c>
      <c r="D16" s="70" t="inlineStr">
        <is>
          <t>Negative</t>
        </is>
      </c>
      <c r="E16" s="71" t="inlineStr">
        <is>
          <t>User is on the school fee form</t>
        </is>
      </c>
      <c r="F16" s="72" t="inlineStr">
        <is>
          <t>-Given I log into the UMPay application with valid email credentials using "&lt;row&gt;" of "&lt;excelSheetName&gt;" of "&lt;excelFileName&gt;"
-When I open International School Fees from the sidebar
-Then the school fee form should be shown
-When I enter more than the wallet holds as the school fee amount
-Then the school fee transfer should be ready to continue
-When I go on from the school fee amount
-Then the form should ask which school is being paid</t>
        </is>
      </c>
      <c r="G16" s="72" t="inlineStr">
        <is>
          <t>Amount: more than the wallet holds</t>
        </is>
      </c>
      <c r="H16" s="73" t="inlineStr">
        <is>
          <t>What the form actually does with an amount larger than the wallet holds, recorded as it is rather than as it ought to be</t>
        </is>
      </c>
      <c r="I16" s="73" t="inlineStr">
        <is>
          <t>User is past the amount step</t>
        </is>
      </c>
      <c r="J16" s="73" t="inlineStr">
        <is>
          <t>The form carried an amount larger than the wallet holds past the amount step without checking it at all - which is what this case records. The check, if there is one, comes later</t>
        </is>
      </c>
      <c r="K16" s="74" t="inlineStr">
        <is>
          <t>PASS</t>
        </is>
      </c>
      <c r="L16" s="74" t="inlineStr">
        <is>
          <t>MEDIUM</t>
        </is>
      </c>
      <c r="M16" s="58" t="inlineStr">
        <is>
          <t>KIMA</t>
        </is>
      </c>
      <c r="N16" s="103" t="n">
        <v>46273</v>
      </c>
      <c r="O16" s="53" t="inlineStr">
        <is>
          <t>Window OS</t>
        </is>
      </c>
      <c r="P16" s="76" t="inlineStr">
        <is>
          <t>Chromium</t>
        </is>
      </c>
      <c r="Q16" s="70" t="n"/>
      <c r="R16" s="70" t="n"/>
      <c r="S16" s="77" t="inlineStr">
        <is>
          <t>Run</t>
        </is>
      </c>
    </row>
    <row r="17" ht="15.75" customHeight="1" s="51">
      <c r="A17" s="67" t="inlineStr">
        <is>
          <t>TC_009</t>
        </is>
      </c>
      <c r="B17" s="79" t="inlineStr">
        <is>
          <t>International School Fee</t>
        </is>
      </c>
      <c r="C17" s="72" t="inlineStr">
        <is>
          <t>The amount step leads to choosing who is being paid</t>
        </is>
      </c>
      <c r="D17" s="70" t="inlineStr">
        <is>
          <t>Positive</t>
        </is>
      </c>
      <c r="E17" s="71" t="inlineStr">
        <is>
          <t>User is past the amount step</t>
        </is>
      </c>
      <c r="F17" s="72" t="inlineStr">
        <is>
          <t>-Given I log into the UMPay application with valid email credentials using "&lt;row&gt;" of "&lt;excelSheetName&gt;" of "&lt;excelFileName&gt;"
-When I open International School Fees from the sidebar
-Then the school fee form should be shown
-When I enter the stated minimum as the school fee amount
-And I go on from the school fee amount
-Then the form should ask which school is being paid</t>
        </is>
      </c>
      <c r="G17" s="72" t="inlineStr">
        <is>
          <t>Amount: the stated minimum</t>
        </is>
      </c>
      <c r="H17" s="73" t="inlineStr">
        <is>
          <t>The amount step should lead on to choosing the school being paid</t>
        </is>
      </c>
      <c r="I17" s="73" t="inlineStr">
        <is>
          <t>User is choosing who is being paid</t>
        </is>
      </c>
      <c r="J17" s="73" t="inlineStr">
        <is>
          <t>The amount step led on to choosing who is being paid</t>
        </is>
      </c>
      <c r="K17" s="74" t="inlineStr">
        <is>
          <t>PASS</t>
        </is>
      </c>
      <c r="L17" s="74" t="inlineStr">
        <is>
          <t>MEDIUM</t>
        </is>
      </c>
      <c r="M17" s="58" t="inlineStr">
        <is>
          <t>KIMA</t>
        </is>
      </c>
      <c r="N17" s="103" t="n">
        <v>46273</v>
      </c>
      <c r="O17" s="53" t="inlineStr">
        <is>
          <t>Window OS</t>
        </is>
      </c>
      <c r="P17" s="76" t="inlineStr">
        <is>
          <t>Chromium</t>
        </is>
      </c>
      <c r="Q17" s="70" t="n"/>
      <c r="R17" s="70" t="n"/>
      <c r="S17" s="77" t="inlineStr">
        <is>
          <t>Run</t>
        </is>
      </c>
    </row>
    <row r="18" ht="15.75" customHeight="1" s="51">
      <c r="A18" s="67" t="inlineStr">
        <is>
          <t>TC_010</t>
        </is>
      </c>
      <c r="B18" s="79" t="inlineStr">
        <is>
          <t>International School Fee</t>
        </is>
      </c>
      <c r="C18" s="72" t="inlineStr">
        <is>
          <t>The saved schools are offered</t>
        </is>
      </c>
      <c r="D18" s="70" t="inlineStr">
        <is>
          <t>Positive</t>
        </is>
      </c>
      <c r="E18" s="71" t="inlineStr">
        <is>
          <t>User is choosing who is being paid</t>
        </is>
      </c>
      <c r="F18" s="72" t="inlineStr">
        <is>
          <t>-Given I log into the UMPay application with valid email credentials using "&lt;row&gt;" of "&lt;excelSheetName&gt;" of "&lt;excelFileName&gt;"
-When I open International School Fees from the sidebar
-Then the school fee form should be shown
-When I enter the stated minimum as the school fee amount
-And I go on from the school fee amount
-Then the form should ask which school is being paid
-When I open the schools saved on the account
-Then the schools saved on the account should be listed</t>
        </is>
      </c>
      <c r="G18" s="72" t="inlineStr">
        <is>
          <t>The schools this account has saved</t>
        </is>
      </c>
      <c r="H18" s="73" t="inlineStr">
        <is>
          <t>The schools the account has saved should be offered rather than typed in again</t>
        </is>
      </c>
      <c r="I18" s="73" t="inlineStr">
        <is>
          <t>User is choosing who is being paid</t>
        </is>
      </c>
      <c r="J18" s="73" t="inlineStr">
        <is>
          <t>The saved schools were offered</t>
        </is>
      </c>
      <c r="K18" s="74" t="inlineStr">
        <is>
          <t>PASS</t>
        </is>
      </c>
      <c r="L18" s="74" t="inlineStr">
        <is>
          <t>MEDIUM</t>
        </is>
      </c>
      <c r="M18" s="58" t="inlineStr">
        <is>
          <t>KIMA</t>
        </is>
      </c>
      <c r="N18" s="103" t="n">
        <v>46273</v>
      </c>
      <c r="O18" s="53" t="inlineStr">
        <is>
          <t>Window OS</t>
        </is>
      </c>
      <c r="P18" s="76" t="inlineStr">
        <is>
          <t>Chromium</t>
        </is>
      </c>
      <c r="Q18" s="70" t="n"/>
      <c r="R18" s="70" t="n"/>
      <c r="S18" s="77" t="inlineStr">
        <is>
          <t>Run</t>
        </is>
      </c>
    </row>
    <row r="19" ht="15.75" customHeight="1" s="51">
      <c r="A19" s="67" t="inlineStr">
        <is>
          <t>TC_011</t>
        </is>
      </c>
      <c r="B19" s="79" t="inlineStr">
        <is>
          <t>International School Fee</t>
        </is>
      </c>
      <c r="C19" s="72" t="inlineStr">
        <is>
          <t>Choosing a saved school fills in the school and the student</t>
        </is>
      </c>
      <c r="D19" s="70" t="inlineStr">
        <is>
          <t>Positive</t>
        </is>
      </c>
      <c r="E19" s="71" t="inlineStr">
        <is>
          <t>User is choosing who is being paid</t>
        </is>
      </c>
      <c r="F19" s="72" t="inlineStr">
        <is>
          <t>-Given I log into the UMPay application with valid email credentials using "&lt;row&gt;" of "&lt;excelSheetName&gt;" of "&lt;excelFileName&gt;"
-When I open International School Fees from the sidebar
-Then the school fee form should be shown
-When I enter the stated minimum as the school fee amount
-And I go on from the school fee amount
-Then the form should ask which school is being paid
-When I open the schools saved on the account
-Then the schools saved on the account should be listed
-When I choose the school saved in "&lt;row&gt;" of "&lt;excelSheetName&gt;" of "&lt;excelFileName&gt;"
-Then the school and the student should be filled in from "&lt;row&gt;" of "&lt;excelSheetName&gt;" of "&lt;excelFileName&gt;"</t>
        </is>
      </c>
      <c r="G19" s="72" t="inlineStr">
        <is>
          <t>A saved school</t>
        </is>
      </c>
      <c r="H19" s="73" t="inlineStr">
        <is>
          <t>Choosing a saved school should fill in both the school and the student it was saved against</t>
        </is>
      </c>
      <c r="I19" s="73" t="inlineStr">
        <is>
          <t>The school and student are filled in</t>
        </is>
      </c>
      <c r="J19" s="73" t="inlineStr">
        <is>
          <t>Choosing a saved school filled in both the school and the student</t>
        </is>
      </c>
      <c r="K19" s="74" t="inlineStr">
        <is>
          <t>PASS</t>
        </is>
      </c>
      <c r="L19" s="74" t="inlineStr">
        <is>
          <t>HIGH</t>
        </is>
      </c>
      <c r="M19" s="58" t="inlineStr">
        <is>
          <t>KIMA</t>
        </is>
      </c>
      <c r="N19" s="103" t="n">
        <v>46273</v>
      </c>
      <c r="O19" s="53" t="inlineStr">
        <is>
          <t>Window OS</t>
        </is>
      </c>
      <c r="P19" s="76" t="inlineStr">
        <is>
          <t>Chromium</t>
        </is>
      </c>
      <c r="Q19" s="70" t="n"/>
      <c r="R19" s="70" t="n"/>
      <c r="S19" s="77" t="inlineStr">
        <is>
          <t>Run</t>
        </is>
      </c>
    </row>
    <row r="20" ht="15.75" customHeight="1" s="51">
      <c r="A20" s="67" t="inlineStr">
        <is>
          <t>TC_012</t>
        </is>
      </c>
      <c r="B20" s="79" t="inlineStr">
        <is>
          <t>International School Fee</t>
        </is>
      </c>
      <c r="C20" s="72" t="inlineStr">
        <is>
          <t>Global Transfer reaches the same form</t>
        </is>
      </c>
      <c r="D20" s="70" t="inlineStr">
        <is>
          <t>Positive</t>
        </is>
      </c>
      <c r="E20" s="71" t="inlineStr">
        <is>
          <t>User is in the Global Transfer area</t>
        </is>
      </c>
      <c r="F20" s="72" t="inlineStr">
        <is>
          <t>-Given I log into the UMPay application with valid email credentials using "&lt;row&gt;" of "&lt;excelSheetName&gt;" of "&lt;excelFileName&gt;"
-When I open the Global Transfer area
-And I take the "UMPay Transfer to School Fees" route from Global Transfer
-Then the school fee form should be shown
-And the school fee form should show the sending wallet and its balance
-And the school fee form should ask for an amount and a remark</t>
        </is>
      </c>
      <c r="G20" s="72" t="inlineStr">
        <is>
          <t>Valid UMPay user</t>
        </is>
      </c>
      <c r="H20" s="73" t="inlineStr">
        <is>
          <t>Global Transfer should reach the same school fee form as the sidebar, rather than a second form that could drift from it</t>
        </is>
      </c>
      <c r="I20" s="73" t="inlineStr">
        <is>
          <t>User is on the school fee form</t>
        </is>
      </c>
      <c r="J20" s="73" t="inlineStr">
        <is>
          <t>Global Transfer reached the same school fee form</t>
        </is>
      </c>
      <c r="K20" s="74" t="inlineStr">
        <is>
          <t>PASS</t>
        </is>
      </c>
      <c r="L20" s="74" t="inlineStr">
        <is>
          <t>MEDIUM</t>
        </is>
      </c>
      <c r="M20" s="58" t="inlineStr">
        <is>
          <t>KIMA</t>
        </is>
      </c>
      <c r="N20" s="103" t="n">
        <v>46273</v>
      </c>
      <c r="O20" s="53" t="inlineStr">
        <is>
          <t>Window OS</t>
        </is>
      </c>
      <c r="P20" s="76" t="inlineStr">
        <is>
          <t>Chromium</t>
        </is>
      </c>
      <c r="Q20" s="70" t="n"/>
      <c r="R20" s="70" t="n"/>
      <c r="S20" s="77" t="inlineStr">
        <is>
          <t>Run</t>
        </is>
      </c>
    </row>
  </sheetData>
  <dataValidations count="7">
    <dataValidation sqref="K9:K20" showDropDown="0" showInputMessage="0" showErrorMessage="1" allowBlank="1" type="list" operator="between">
      <formula1>"PASS,FAIL,PENDING"</formula1>
      <formula2>0</formula2>
    </dataValidation>
    <dataValidation sqref="P9:P20" showDropDown="0" showInputMessage="0" showErrorMessage="1" allowBlank="1" type="list" operator="between">
      <formula1>METADATA!$H$2:$H$8</formula1>
      <formula2>0</formula2>
    </dataValidation>
    <dataValidation sqref="O9:O20" showDropDown="0" showInputMessage="0" showErrorMessage="1" allowBlank="1" type="list" operator="between">
      <formula1>METADATA!$J$2:$J$7</formula1>
      <formula2>0</formula2>
    </dataValidation>
    <dataValidation sqref="D9:D20" showDropDown="0" showInputMessage="0" showErrorMessage="1" allowBlank="1" type="list" operator="between">
      <formula1>METADATA!$N$2:$N$3</formula1>
      <formula2>0</formula2>
    </dataValidation>
    <dataValidation sqref="B4 M9:M20" showDropDown="0" showInputMessage="0" showErrorMessage="1" allowBlank="1" type="list" operator="between">
      <formula1>METADATA!$F$2:$F$4</formula1>
      <formula2>0</formula2>
    </dataValidation>
    <dataValidation sqref="L9:L20" showDropDown="0" showInputMessage="0" showErrorMessage="1" allowBlank="1" type="list" operator="between">
      <formula1>"HIGH,MEDIUM,LOW"</formula1>
      <formula2>0</formula2>
    </dataValidation>
    <dataValidation sqref="B1" showDropDown="0" showInputMessage="0" showErrorMessage="1" allowBlank="1" type="list" operator="between">
      <formula1>"WPAY,UMPay,OFL,UNCS"</formula1>
      <formula2>0</formula2>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 xmlns:r="http://schemas.openxmlformats.org/officeDocument/2006/relationships" ref="S20" r:id="rId12"/>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T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E20" activeCellId="0" sqref="E20"/>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Domestic Transfer</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46170</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46170</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Domestic Transfer</t>
        </is>
      </c>
      <c r="C9" s="72" t="inlineStr">
        <is>
          <t>A UnionPay China transfer is sent to a new receiver</t>
        </is>
      </c>
      <c r="D9" s="70" t="inlineStr">
        <is>
          <t>Positive</t>
        </is>
      </c>
      <c r="E9" s="71" t="inlineStr">
        <is>
          <t>User is on Domestic Transfer Page.</t>
        </is>
      </c>
      <c r="F9" s="72" t="inlineStr">
        <is>
          <t>-Given I log into the UMPay application with valid email credentials using "&lt;row&gt;" of "&lt;excelSheetName&gt;" of "&lt;excelFileName&gt;"
-When I open the Domestic Transfer area
-And I take the "UnionPay China" route from Domestic Transfer
-Then the UnionPay amount form should be shown
-When I enter the stated minimum as the UnionPay amount
-Then the converted amount should be worked out
-And the UnionPay transfer should be ready to continue
-When I go on to the receiver step
-And I send it to a new receiver in "&lt;row&gt;" of "&lt;excelSheetName&gt;" of "&lt;excelFileName&gt;", which moves real money
-Then the transfer should go through</t>
        </is>
      </c>
      <c r="G9" s="72" t="inlineStr">
        <is>
          <t>Valid UMPay user</t>
        </is>
      </c>
      <c r="H9" s="73" t="inlineStr">
        <is>
          <t>User should be able to transfer to new entry</t>
        </is>
      </c>
      <c r="I9" s="73" t="inlineStr">
        <is>
          <t>User is still on Domestic Transfer page</t>
        </is>
      </c>
      <c r="J9" s="73" t="inlineStr">
        <is>
          <t>User can transfer to new entry</t>
        </is>
      </c>
      <c r="K9" s="74" t="inlineStr">
        <is>
          <t>PASS</t>
        </is>
      </c>
      <c r="L9" s="74" t="inlineStr">
        <is>
          <t>HIGH</t>
        </is>
      </c>
      <c r="M9" s="58" t="inlineStr">
        <is>
          <t>KIMA</t>
        </is>
      </c>
      <c r="N9" s="75" t="n"/>
      <c r="O9" s="53" t="inlineStr">
        <is>
          <t>Window OS</t>
        </is>
      </c>
      <c r="P9" s="76" t="inlineStr">
        <is>
          <t>Edge</t>
        </is>
      </c>
      <c r="Q9" s="70" t="n"/>
      <c r="R9" s="70" t="n"/>
      <c r="S9" s="77" t="inlineStr">
        <is>
          <t>Run</t>
        </is>
      </c>
    </row>
    <row r="10" ht="15.75" customHeight="1" s="51">
      <c r="A10" s="67" t="inlineStr">
        <is>
          <t>TC_002</t>
        </is>
      </c>
      <c r="B10" s="79" t="inlineStr">
        <is>
          <t>Domestic Transfer</t>
        </is>
      </c>
      <c r="C10" s="72" t="inlineStr">
        <is>
          <t>A UnionPay China transfer is sent to a saved receiver</t>
        </is>
      </c>
      <c r="D10" s="70" t="inlineStr">
        <is>
          <t>Positive</t>
        </is>
      </c>
      <c r="E10" s="71" t="inlineStr">
        <is>
          <t>User is on Domestic Transfer Page.</t>
        </is>
      </c>
      <c r="F10" s="72" t="inlineStr">
        <is>
          <t>-Given I log into the UMPay application with valid email credentials using "&lt;row&gt;" of "&lt;excelSheetName&gt;" of "&lt;excelFileName&gt;"
-When I open the Domestic Transfer area
-And I take the "UnionPay China" route from Domestic Transfer
-Then the UnionPay amount form should be shown
-When I enter the stated minimum as the UnionPay amount
-Then the UnionPay transfer should be ready to continue
-When I go on to the receiver step
-And I send it to the saved receiver in "&lt;row&gt;" of "&lt;excelSheetName&gt;" of "&lt;excelFileName&gt;", which moves real money
-Then the transfer should go through</t>
        </is>
      </c>
      <c r="G10" s="72" t="inlineStr">
        <is>
          <t>Valid UMPay user</t>
        </is>
      </c>
      <c r="H10" s="73" t="inlineStr">
        <is>
          <t>User should be able to transfer to saved receiver</t>
        </is>
      </c>
      <c r="I10" s="73" t="inlineStr">
        <is>
          <t>User is still on Domestic Transfer page</t>
        </is>
      </c>
      <c r="J10" s="73" t="inlineStr">
        <is>
          <t>User can transfer to saved receiver</t>
        </is>
      </c>
      <c r="K10" s="74" t="inlineStr">
        <is>
          <t>PASS</t>
        </is>
      </c>
      <c r="L10" s="74" t="inlineStr">
        <is>
          <t>HIGH</t>
        </is>
      </c>
      <c r="M10" s="58" t="inlineStr">
        <is>
          <t>KIMA</t>
        </is>
      </c>
      <c r="N10" s="75" t="n"/>
      <c r="O10" s="53" t="inlineStr">
        <is>
          <t>Window OS</t>
        </is>
      </c>
      <c r="P10" s="76" t="inlineStr">
        <is>
          <t>Edge</t>
        </is>
      </c>
      <c r="Q10" s="70" t="n"/>
      <c r="R10" s="70" t="n"/>
      <c r="S10" s="77" t="inlineStr">
        <is>
          <t>Run</t>
        </is>
      </c>
    </row>
    <row r="11" ht="15.75" customHeight="1" s="51">
      <c r="A11" s="67" t="inlineStr">
        <is>
          <t>TC_003</t>
        </is>
      </c>
      <c r="B11" s="79" t="inlineStr">
        <is>
          <t>Domestic Transfer</t>
        </is>
      </c>
      <c r="C11" s="72" t="inlineStr">
        <is>
          <t>UnionPay China will not go on with more than its stated maximum</t>
        </is>
      </c>
      <c r="D11" s="70" t="inlineStr">
        <is>
          <t>Negative</t>
        </is>
      </c>
      <c r="E11" s="71" t="inlineStr">
        <is>
          <t>User is on Domestic Transfer Page.</t>
        </is>
      </c>
      <c r="F11" s="72" t="inlineStr">
        <is>
          <t>-Given I log into the UMPay application with valid email credentials using "&lt;row&gt;" of "&lt;excelSheetName&gt;" of "&lt;excelFileName&gt;"
-When I open the Domestic Transfer area
-And I take the "UnionPay China" route from Domestic Transfer
-Then the UnionPay amount form should be shown
-When I enter one above the stated maximum as the UnionPay amount
-Then the UnionPay transfer should not be ready to continue</t>
        </is>
      </c>
      <c r="G11" s="72" t="inlineStr">
        <is>
          <t>Valid UMPay user</t>
        </is>
      </c>
      <c r="H11" s="73" t="inlineStr">
        <is>
          <t>User should not be able to transfer</t>
        </is>
      </c>
      <c r="I11" s="73" t="inlineStr">
        <is>
          <t>User is still on Domestic Transfer page</t>
        </is>
      </c>
      <c r="J11" s="73" t="inlineStr">
        <is>
          <t>User can not transfer</t>
        </is>
      </c>
      <c r="K11" s="74" t="inlineStr">
        <is>
          <t>PASS</t>
        </is>
      </c>
      <c r="L11" s="74" t="inlineStr">
        <is>
          <t>HIGH</t>
        </is>
      </c>
      <c r="M11" s="58" t="inlineStr">
        <is>
          <t>KIMA</t>
        </is>
      </c>
      <c r="N11" s="75" t="n"/>
      <c r="O11" s="53" t="inlineStr">
        <is>
          <t>Window OS</t>
        </is>
      </c>
      <c r="P11" s="76" t="inlineStr">
        <is>
          <t>Edge</t>
        </is>
      </c>
      <c r="Q11" s="70" t="n"/>
      <c r="R11" s="70" t="n"/>
      <c r="S11" s="77" t="inlineStr">
        <is>
          <t>Run</t>
        </is>
      </c>
    </row>
    <row r="12" ht="15.75" customHeight="1" s="51">
      <c r="A12" s="67" t="inlineStr">
        <is>
          <t>TC_004</t>
        </is>
      </c>
      <c r="B12" s="79" t="inlineStr">
        <is>
          <t>Domestic Transfer</t>
        </is>
      </c>
      <c r="C12" s="72" t="inlineStr">
        <is>
          <t>UnionPay China will not go on with less than its stated minimum</t>
        </is>
      </c>
      <c r="D12" s="70" t="inlineStr">
        <is>
          <t>Negative</t>
        </is>
      </c>
      <c r="E12" s="71" t="inlineStr">
        <is>
          <t>User is on Domestic Transfer Page.</t>
        </is>
      </c>
      <c r="F12" s="72" t="inlineStr">
        <is>
          <t>-Given I log into the UMPay application with valid email credentials using "&lt;row&gt;" of "&lt;excelSheetName&gt;" of "&lt;excelFileName&gt;"
-When I open the Domestic Transfer area
-And I take the "UnionPay China" route from Domestic Transfer
-Then the UnionPay amount form should be shown
-When I enter one below the stated minimum as the UnionPay amount
-Then the UnionPay transfer should not be ready to continue</t>
        </is>
      </c>
      <c r="G12" s="72" t="inlineStr">
        <is>
          <t>Valid UMPay user</t>
        </is>
      </c>
      <c r="H12" s="73" t="inlineStr">
        <is>
          <t>User should not be able to transfer</t>
        </is>
      </c>
      <c r="I12" s="73" t="inlineStr">
        <is>
          <t>User is still on Domestic Transfer page</t>
        </is>
      </c>
      <c r="J12" s="73" t="inlineStr">
        <is>
          <t>User can not transfer</t>
        </is>
      </c>
      <c r="K12" s="74" t="inlineStr">
        <is>
          <t>PASS</t>
        </is>
      </c>
      <c r="L12" s="74" t="inlineStr">
        <is>
          <t>HIGH</t>
        </is>
      </c>
      <c r="M12" s="58" t="inlineStr">
        <is>
          <t>KIMA</t>
        </is>
      </c>
      <c r="N12" s="75" t="n"/>
      <c r="O12" s="53" t="inlineStr">
        <is>
          <t>Window OS</t>
        </is>
      </c>
      <c r="P12" s="76" t="inlineStr">
        <is>
          <t>Edge</t>
        </is>
      </c>
      <c r="Q12" s="70" t="n"/>
      <c r="R12" s="70" t="n"/>
      <c r="S12" s="77" t="inlineStr">
        <is>
          <t>Run</t>
        </is>
      </c>
    </row>
    <row r="13" ht="15.75" customHeight="1" s="51">
      <c r="A13" s="67" t="inlineStr">
        <is>
          <t>TC_005</t>
        </is>
      </c>
      <c r="B13" s="79" t="inlineStr">
        <is>
          <t>Domestic Transfer</t>
        </is>
      </c>
      <c r="C13" s="72" t="inlineStr">
        <is>
          <t>Domestic Transfer offers exactly the China routes</t>
        </is>
      </c>
      <c r="D13" s="70" t="inlineStr">
        <is>
          <t>Positive</t>
        </is>
      </c>
      <c r="E13" s="71" t="inlineStr">
        <is>
          <t>User is signed in</t>
        </is>
      </c>
      <c r="F13" s="72" t="inlineStr">
        <is>
          <t>-Given I log into the UMPay application with valid email credentials using "&lt;row&gt;" of "&lt;excelSheetName&gt;" of "&lt;excelFileName&gt;"
-When I open the Domestic Transfer area
-Then the Domestic Transfer area should offer exactly its own routes</t>
        </is>
      </c>
      <c r="G13" s="72" t="inlineStr">
        <is>
          <t>Valid UMPay user</t>
        </is>
      </c>
      <c r="H13" s="73" t="inlineStr">
        <is>
          <t>The Domestic Transfer area should offer exactly its own China routes and nothing belonging to another area</t>
        </is>
      </c>
      <c r="I13" s="73" t="inlineStr">
        <is>
          <t>User is in the Domestic Transfer area</t>
        </is>
      </c>
      <c r="J13" s="73" t="inlineStr">
        <is>
          <t>The area offered exactly its own China routes</t>
        </is>
      </c>
      <c r="K13" s="74" t="inlineStr">
        <is>
          <t>PASS</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Domestic Transfer</t>
        </is>
      </c>
      <c r="C14" s="72" t="inlineStr">
        <is>
          <t>A payment app route under maintenance refuses to open</t>
        </is>
      </c>
      <c r="D14" s="70" t="inlineStr">
        <is>
          <t>Negative</t>
        </is>
      </c>
      <c r="E14" s="71" t="inlineStr">
        <is>
          <t>User is in the Domestic Transfer area</t>
        </is>
      </c>
      <c r="F14" s="72" t="inlineStr">
        <is>
          <t>-Given I log into the UMPay application with valid email credentials using "&lt;row&gt;" of "&lt;sheet&gt;" of "&lt;file&gt;"
-When I open the Domestic Transfer area
-Then the Domestic Transfer route in "&lt;row&gt;" of "&lt;sheet&gt;" of "&lt;file&gt;" should be marked as under maintenance
-When I take the route in "&lt;row&gt;" of "&lt;sheet&gt;" of "&lt;file&gt;" from Domestic Transfer
-Then Domestic Transfer should refuse it with the message in "&lt;row&gt;" of "&lt;sheet&gt;" of "&lt;file&gt;"</t>
        </is>
      </c>
      <c r="G14" s="72" t="inlineStr">
        <is>
          <t>The two routes recorded as under maintenance</t>
        </is>
      </c>
      <c r="H14" s="73" t="inlineStr">
        <is>
          <t>A route marked under maintenance should say so and refuse to open with the message the platform gives, rather than opening a form that cannot be used</t>
        </is>
      </c>
      <c r="I14" s="73" t="inlineStr">
        <is>
          <t>User is in the Domestic Transfer area</t>
        </is>
      </c>
      <c r="J14" s="73" t="inlineStr">
        <is>
          <t>Both routes recorded as under maintenance were marked as such, and taking either was refused with the message the platform gives</t>
        </is>
      </c>
      <c r="K14" s="74" t="inlineStr">
        <is>
          <t>PASS</t>
        </is>
      </c>
      <c r="L14" s="74" t="inlineStr">
        <is>
          <t>MEDIUM</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Domestic Transfer</t>
        </is>
      </c>
      <c r="C15" s="72" t="inlineStr">
        <is>
          <t>UnionPay China states its limits before anything is entered</t>
        </is>
      </c>
      <c r="D15" s="70" t="inlineStr">
        <is>
          <t>Positive</t>
        </is>
      </c>
      <c r="E15" s="71" t="inlineStr">
        <is>
          <t>User is on the UnionPay China form</t>
        </is>
      </c>
      <c r="F15" s="72" t="inlineStr">
        <is>
          <t>-Given I log into the UMPay application with valid email credentials using "&lt;row&gt;" of "&lt;excelSheetName&gt;" of "&lt;excelFileName&gt;"
-When I open the Domestic Transfer area
-And I take the "UnionPay China" route from Domestic Transfer
-Then the UnionPay amount form should be shown
-And the UnionPay form should state "Limit Min"
-And the UnionPay form should state "Limit Max"
-And the UnionPay transfer should not be ready to continue</t>
        </is>
      </c>
      <c r="G15" s="72" t="inlineStr">
        <is>
          <t>Valid UMPay user</t>
        </is>
      </c>
      <c r="H15" s="73" t="inlineStr">
        <is>
          <t>The form should state both Limit Min and Limit Max before anything is entered, and should not be ready to continue</t>
        </is>
      </c>
      <c r="I15" s="73" t="inlineStr">
        <is>
          <t>User is on the UnionPay China form</t>
        </is>
      </c>
      <c r="J15" s="73" t="inlineStr">
        <is>
          <t>The form stated both Limit Min and Limit Max before anything was entered, and was not ready to continue</t>
        </is>
      </c>
      <c r="K15" s="74" t="inlineStr">
        <is>
          <t>PASS</t>
        </is>
      </c>
      <c r="L15" s="74" t="inlineStr">
        <is>
          <t>MEDIUM</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Domestic Transfer</t>
        </is>
      </c>
      <c r="C16" s="72" t="inlineStr">
        <is>
          <t>UnionPay China works out what the recipient receives</t>
        </is>
      </c>
      <c r="D16" s="70" t="inlineStr">
        <is>
          <t>Positive</t>
        </is>
      </c>
      <c r="E16" s="71" t="inlineStr">
        <is>
          <t>User is on the UnionPay China form</t>
        </is>
      </c>
      <c r="F16" s="72" t="inlineStr">
        <is>
          <t>-Given I log into the UMPay application with valid email credentials using "&lt;row&gt;" of "&lt;excelSheetName&gt;" of "&lt;excelFileName&gt;"
-When I open the Domestic Transfer area
-And I take the "UnionPay China" route from Domestic Transfer
-Then the UnionPay amount form should be shown
-And the UnionPay form should offer a converted amount
-When I enter the stated minimum as the UnionPay amount
-Then the converted amount should be worked out</t>
        </is>
      </c>
      <c r="G16" s="72" t="inlineStr">
        <is>
          <t>Amount: the stated minimum</t>
        </is>
      </c>
      <c r="H16" s="73" t="inlineStr">
        <is>
          <t>The form should work out and show what the recipient receives for the amount entered</t>
        </is>
      </c>
      <c r="I16" s="73" t="inlineStr">
        <is>
          <t>User is on the UnionPay China form</t>
        </is>
      </c>
      <c r="J16" s="73" t="inlineStr">
        <is>
          <t>Entering the stated minimum, the form worked the converted amount out to 68.96</t>
        </is>
      </c>
      <c r="K16" s="74" t="inlineStr">
        <is>
          <t>PASS</t>
        </is>
      </c>
      <c r="L16" s="74" t="inlineStr">
        <is>
          <t>HIGH</t>
        </is>
      </c>
      <c r="M16" s="58" t="inlineStr">
        <is>
          <t>KIMA</t>
        </is>
      </c>
      <c r="N16" s="103" t="n">
        <v>46273</v>
      </c>
      <c r="O16" s="53" t="inlineStr">
        <is>
          <t>Window OS</t>
        </is>
      </c>
      <c r="P16" s="76" t="inlineStr">
        <is>
          <t>Chromium</t>
        </is>
      </c>
      <c r="Q16" s="70" t="n"/>
      <c r="R16" s="70" t="n"/>
      <c r="S16" s="77" t="inlineStr">
        <is>
          <t>Run</t>
        </is>
      </c>
    </row>
    <row r="1048576" ht="12.8" customHeight="1" s="51"/>
  </sheetData>
  <dataValidations count="7">
    <dataValidation sqref="K9:K16" showDropDown="0" showInputMessage="0" showErrorMessage="1" allowBlank="1" type="list" operator="between">
      <formula1>"PASS,FAIL,PENDING"</formula1>
      <formula2>0</formula2>
    </dataValidation>
    <dataValidation sqref="P9:P16" showDropDown="0" showInputMessage="0" showErrorMessage="1" allowBlank="1" type="list" operator="between">
      <formula1>METADATA!$H$2:$H$8</formula1>
      <formula2>0</formula2>
    </dataValidation>
    <dataValidation sqref="O9:O16" showDropDown="0" showInputMessage="0" showErrorMessage="1" allowBlank="1" type="list" operator="between">
      <formula1>METADATA!$J$2:$J$7</formula1>
      <formula2>0</formula2>
    </dataValidation>
    <dataValidation sqref="D9:D16" showDropDown="0" showInputMessage="0" showErrorMessage="1" allowBlank="1" type="list" operator="between">
      <formula1>METADATA!$N$2:$N$3</formula1>
      <formula2>0</formula2>
    </dataValidation>
    <dataValidation sqref="B4 M9:M16" showDropDown="0" showInputMessage="0" showErrorMessage="1" allowBlank="1" type="list" operator="between">
      <formula1>METADATA!$F$2:$F$4</formula1>
      <formula2>0</formula2>
    </dataValidation>
    <dataValidation sqref="L9:L16" showDropDown="0" showInputMessage="0" showErrorMessage="1" allowBlank="1" type="list" operator="between">
      <formula1>"HIGH,MEDIUM,LOW"</formula1>
      <formula2>0</formula2>
    </dataValidation>
    <dataValidation sqref="B1" showDropDown="0" showInputMessage="0" showErrorMessage="1" allowBlank="1" type="list" operator="between">
      <formula1>"WPAY,UMPay,OFL,UNCS"</formula1>
      <formula2>0</formula2>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T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17" activeCellId="0" sqref="C17"/>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global Transfer</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46170</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46170</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Global Transfer</t>
        </is>
      </c>
      <c r="C9" s="72" t="inlineStr">
        <is>
          <t>Successful Global Transfer for Outside China existing template</t>
        </is>
      </c>
      <c r="D9" s="70" t="inlineStr">
        <is>
          <t>Positive</t>
        </is>
      </c>
      <c r="E9" s="71" t="inlineStr">
        <is>
          <t>User is on Global Transfer Page.</t>
        </is>
      </c>
      <c r="F9" s="72" t="inlineStr">
        <is>
          <t xml:space="preserve">-Given I log into the UMPay application with valid email credentials using "&lt;row&gt;" of "&lt;excelSheetName&gt;" of "&lt;excelFileName&gt;"
-When I navigate to Global Transfer page
-Then I should be able to initiate a global transfer for existing template using "&lt;row&gt;" of "&lt;excelSheetName&gt;" of "&lt;excelFileName&gt;"
</t>
        </is>
      </c>
      <c r="G9" s="72" t="inlineStr">
        <is>
          <t>Valid UMPay user</t>
        </is>
      </c>
      <c r="H9" s="73" t="inlineStr">
        <is>
          <t>User should be able to transfer to template</t>
        </is>
      </c>
      <c r="I9" s="73" t="inlineStr">
        <is>
          <t>User is still on Global Transfer page</t>
        </is>
      </c>
      <c r="J9" s="73" t="inlineStr">
        <is>
          <t>User can transfer to template</t>
        </is>
      </c>
      <c r="K9" s="74" t="inlineStr">
        <is>
          <t>PASS</t>
        </is>
      </c>
      <c r="L9" s="74" t="inlineStr">
        <is>
          <t>HIGH</t>
        </is>
      </c>
      <c r="M9" s="58" t="inlineStr">
        <is>
          <t>KIMA</t>
        </is>
      </c>
      <c r="N9" s="75" t="n"/>
      <c r="O9" s="53" t="inlineStr">
        <is>
          <t>Window OS</t>
        </is>
      </c>
      <c r="P9" s="76" t="inlineStr">
        <is>
          <t>Edge</t>
        </is>
      </c>
      <c r="Q9" s="70" t="n"/>
      <c r="R9" s="70" t="n"/>
      <c r="S9" s="77" t="inlineStr">
        <is>
          <t>Run</t>
        </is>
      </c>
    </row>
    <row r="10" ht="15.75" customHeight="1" s="51">
      <c r="A10" s="67" t="inlineStr">
        <is>
          <t>TC_002</t>
        </is>
      </c>
      <c r="B10" s="79" t="inlineStr">
        <is>
          <t>Global Transfer</t>
        </is>
      </c>
      <c r="C10" s="72" t="inlineStr">
        <is>
          <t>Successful Global Transfer for Outside China new Receiver</t>
        </is>
      </c>
      <c r="D10" s="70" t="inlineStr">
        <is>
          <t>Positive</t>
        </is>
      </c>
      <c r="E10" s="71" t="inlineStr">
        <is>
          <t>User is on Global Transfer Page.</t>
        </is>
      </c>
      <c r="F10" s="72" t="inlineStr">
        <is>
          <t xml:space="preserve">-Given I log into the UMPay application with valid email credentials using "&lt;row&gt;" of "&lt;excelSheetName&gt;" of "&lt;excelFileName&gt;"
-When I navigate to Global Transfer page
-Then I should be able to initiate a global transfer for new receiver account using "&lt;row&gt;" of "&lt;excelSheetName&gt;" of "&lt;excelFileName&gt;"
</t>
        </is>
      </c>
      <c r="G10" s="72" t="inlineStr">
        <is>
          <t>Valid UMPay user</t>
        </is>
      </c>
      <c r="H10" s="73" t="inlineStr">
        <is>
          <t>User should be able to transfer to new receiver</t>
        </is>
      </c>
      <c r="I10" s="73" t="inlineStr">
        <is>
          <t>User is still on Global Transfer page</t>
        </is>
      </c>
      <c r="J10" s="73" t="inlineStr">
        <is>
          <t>User can transfer to new receiver</t>
        </is>
      </c>
      <c r="K10" s="74" t="inlineStr">
        <is>
          <t>PASS</t>
        </is>
      </c>
      <c r="L10" s="74" t="inlineStr">
        <is>
          <t>HIGH</t>
        </is>
      </c>
      <c r="M10" s="58" t="inlineStr">
        <is>
          <t>KIMA</t>
        </is>
      </c>
      <c r="N10" s="75" t="n"/>
      <c r="O10" s="53" t="inlineStr">
        <is>
          <t>Window OS</t>
        </is>
      </c>
      <c r="P10" s="76" t="inlineStr">
        <is>
          <t>Edge</t>
        </is>
      </c>
      <c r="Q10" s="70" t="n"/>
      <c r="R10" s="70" t="n"/>
      <c r="S10" s="77" t="inlineStr">
        <is>
          <t>Run</t>
        </is>
      </c>
    </row>
    <row r="11" ht="15.75" customHeight="1" s="51">
      <c r="A11" s="67" t="inlineStr">
        <is>
          <t>TC_003</t>
        </is>
      </c>
      <c r="B11" s="79" t="inlineStr">
        <is>
          <t>Global Transfer</t>
        </is>
      </c>
      <c r="C11" s="72" t="inlineStr">
        <is>
          <t>Successful Global Transfer for within China existing template</t>
        </is>
      </c>
      <c r="D11" s="70" t="inlineStr">
        <is>
          <t>Positive</t>
        </is>
      </c>
      <c r="E11" s="71" t="inlineStr">
        <is>
          <t>User is on Global Transfer Page.</t>
        </is>
      </c>
      <c r="F11" s="72" t="inlineStr">
        <is>
          <t xml:space="preserve">-Given I log into the UMPay application with valid email credentials using "&lt;row&gt;" of "&lt;excelSheetName&gt;" of "&lt;excelFileName&gt;"
-When I navigate to Domestic Transfer page
-Then I should be able to initiate a global transfer for existing template using "&lt;row&gt;" of "&lt;excelSheetName&gt;" of "&lt;excelFileName&gt;"
</t>
        </is>
      </c>
      <c r="G11" s="72" t="inlineStr">
        <is>
          <t>Valid UMPay user</t>
        </is>
      </c>
      <c r="H11" s="73" t="inlineStr">
        <is>
          <t>User should be able to transfer to template</t>
        </is>
      </c>
      <c r="I11" s="73" t="inlineStr">
        <is>
          <t>User is still on Global Transfer page</t>
        </is>
      </c>
      <c r="J11" s="73" t="inlineStr">
        <is>
          <t>User can transfer to template</t>
        </is>
      </c>
      <c r="K11" s="74" t="inlineStr">
        <is>
          <t>PASS</t>
        </is>
      </c>
      <c r="L11" s="74" t="inlineStr">
        <is>
          <t>HIGH</t>
        </is>
      </c>
      <c r="M11" s="58" t="inlineStr">
        <is>
          <t>KIMA</t>
        </is>
      </c>
      <c r="N11" s="75" t="n"/>
      <c r="O11" s="53" t="inlineStr">
        <is>
          <t>Window OS</t>
        </is>
      </c>
      <c r="P11" s="76" t="inlineStr">
        <is>
          <t>Edge</t>
        </is>
      </c>
      <c r="Q11" s="70" t="n"/>
      <c r="R11" s="70" t="n"/>
      <c r="S11" s="77" t="inlineStr">
        <is>
          <t>Run</t>
        </is>
      </c>
    </row>
    <row r="12" ht="15.75" customHeight="1" s="51">
      <c r="A12" s="67" t="inlineStr">
        <is>
          <t>TC_004</t>
        </is>
      </c>
      <c r="B12" s="79" t="inlineStr">
        <is>
          <t>Global Transfer</t>
        </is>
      </c>
      <c r="C12" s="72" t="inlineStr">
        <is>
          <t>Successful Global Transfer for within China new Receiver</t>
        </is>
      </c>
      <c r="D12" s="70" t="inlineStr">
        <is>
          <t>Positive</t>
        </is>
      </c>
      <c r="E12" s="71" t="inlineStr">
        <is>
          <t>User is on Global Transfer Page.</t>
        </is>
      </c>
      <c r="F12" s="72" t="inlineStr">
        <is>
          <t xml:space="preserve">-Given I log into the UMPay application with valid email credentials using "&lt;row&gt;" of "&lt;excelSheetName&gt;" of "&lt;excelFileName&gt;"
-When I navigate to Domestic Transfer page
-Then I should be able to initiate a global transfer for new receiver account using "&lt;row&gt;" of "&lt;excelSheetName&gt;" of "&lt;excelFileName&gt;"
</t>
        </is>
      </c>
      <c r="G12" s="72" t="inlineStr">
        <is>
          <t>Valid UMPay user</t>
        </is>
      </c>
      <c r="H12" s="73" t="inlineStr">
        <is>
          <t>User should be able to transfer to template</t>
        </is>
      </c>
      <c r="I12" s="73" t="inlineStr">
        <is>
          <t>User is still on Global Transfer page</t>
        </is>
      </c>
      <c r="J12" s="73" t="inlineStr">
        <is>
          <t>User can transfer to template</t>
        </is>
      </c>
      <c r="K12" s="74" t="inlineStr">
        <is>
          <t>PASS</t>
        </is>
      </c>
      <c r="L12" s="74" t="inlineStr">
        <is>
          <t>HIGH</t>
        </is>
      </c>
      <c r="M12" s="58" t="inlineStr">
        <is>
          <t>KIMA</t>
        </is>
      </c>
      <c r="N12" s="75" t="n"/>
      <c r="O12" s="53" t="inlineStr">
        <is>
          <t>Window OS</t>
        </is>
      </c>
      <c r="P12" s="76" t="inlineStr">
        <is>
          <t>Edge</t>
        </is>
      </c>
      <c r="Q12" s="70" t="n"/>
      <c r="R12" s="70" t="n"/>
      <c r="S12" s="77" t="inlineStr">
        <is>
          <t>Run</t>
        </is>
      </c>
    </row>
    <row r="13" ht="15.75" customHeight="1" s="51">
      <c r="A13" s="67" t="inlineStr">
        <is>
          <t>TC_005</t>
        </is>
      </c>
      <c r="B13" s="79" t="inlineStr">
        <is>
          <t>Global Transfer</t>
        </is>
      </c>
      <c r="C13" s="72" t="inlineStr">
        <is>
          <t>Global Transfer offers the transfer options outside China</t>
        </is>
      </c>
      <c r="D13" s="70" t="inlineStr">
        <is>
          <t>Positive</t>
        </is>
      </c>
      <c r="E13" s="71" t="inlineStr">
        <is>
          <t>User is signed in</t>
        </is>
      </c>
      <c r="F13" s="72" t="inlineStr">
        <is>
          <t>-Given I log into the UMPay application with valid email credentials using "&lt;row&gt;" of "&lt;excelSheetName&gt;" of "&lt;excelFileName&gt;"
-When I open the Global Transfer area
-Then the Global Transfer area should offer the route "UMPay Transfer to School Fees"
-And the Global Transfer area should offer the route "UMPay Transfer to Personal Bank Account"
-And the Global Transfer area should offer the route "UnionPay Global"
-And the Global Transfer area should offer the route "UMPay Transfer to USDT"</t>
        </is>
      </c>
      <c r="G13" s="72" t="inlineStr">
        <is>
          <t>Valid UMPay user</t>
        </is>
      </c>
      <c r="H13" s="73" t="inlineStr">
        <is>
          <t>The Global Transfer area should offer the transfer options for outside China</t>
        </is>
      </c>
      <c r="I13" s="73" t="inlineStr">
        <is>
          <t>User is in the Global Transfer area</t>
        </is>
      </c>
      <c r="J13" s="73" t="inlineStr">
        <is>
          <t>The area offered the transfer options for outside China</t>
        </is>
      </c>
      <c r="K13" s="74" t="inlineStr">
        <is>
          <t>PASS</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Global Transfer</t>
        </is>
      </c>
      <c r="C14" s="72" t="inlineStr">
        <is>
          <t>UnionPay Global offers the same form without a converted amount</t>
        </is>
      </c>
      <c r="D14" s="70" t="inlineStr">
        <is>
          <t>Positive</t>
        </is>
      </c>
      <c r="E14" s="71" t="inlineStr">
        <is>
          <t>User is in the Global Transfer area</t>
        </is>
      </c>
      <c r="F14" s="72" t="inlineStr">
        <is>
          <t>-Given I log into the UMPay application with valid email credentials using "&lt;row&gt;" of "&lt;excelSheetName&gt;" of "&lt;excelFileName&gt;"
-When I open the Global Transfer area
-And I take the "UnionPay Global" route from Global Transfer
-Then the UnionPay amount form should be shown
-And the UnionPay form should state "Limit Min"
-And the UnionPay form should state "Limit Max"
-And the UnionPay form should not offer a converted amount
-And the UnionPay transfer should not be ready to continue</t>
        </is>
      </c>
      <c r="G14" s="72" t="inlineStr">
        <is>
          <t>Valid UMPay user</t>
        </is>
      </c>
      <c r="H14" s="73" t="inlineStr">
        <is>
          <t>UnionPay Global should offer the same form as its domestic counterpart, without the converted amount that only applies within China</t>
        </is>
      </c>
      <c r="I14" s="73" t="inlineStr">
        <is>
          <t>User is on the UnionPay Global form</t>
        </is>
      </c>
      <c r="J14" s="73" t="inlineStr">
        <is>
          <t>UnionPay Global offered the same form, with no converted amount on it</t>
        </is>
      </c>
      <c r="K14" s="74" t="inlineStr">
        <is>
          <t>PASS</t>
        </is>
      </c>
      <c r="L14" s="74" t="inlineStr">
        <is>
          <t>MEDIUM</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Global Transfer</t>
        </is>
      </c>
      <c r="C15" s="72" t="inlineStr">
        <is>
          <t>A personal bank payout is sent</t>
        </is>
      </c>
      <c r="D15" s="70" t="inlineStr">
        <is>
          <t>Positive</t>
        </is>
      </c>
      <c r="E15" s="71" t="inlineStr">
        <is>
          <t>User is on the personal bank payout form</t>
        </is>
      </c>
      <c r="F15" s="72" t="inlineStr">
        <is>
          <t>-Given I log into the UMPay application with valid email credentials using "&lt;row&gt;" of "&lt;excelSheetName&gt;" of "&lt;excelFileName&gt;"
-When I open the Global Transfer area
-And I take the "UMPay Transfer to Personal Bank Account" route from Global Transfer
-Then the "To Personal Bank Account" form should be shown
-And the payout form should ask for a currency and an amount
-And the payout form should state "Limit Min"
-And the payout should not be ready to confirm
-When I enter the stated minimum as the payout amount
-And I choose the saved payout account in "&lt;row&gt;" of "&lt;excelSheetName&gt;" of "&lt;excelFileName&gt;"
-And I confirm the payout, which moves real money
-Then the payout should go through</t>
        </is>
      </c>
      <c r="G15" s="72" t="inlineStr">
        <is>
          <t>Valid UMPay user; a saved personal bank account</t>
        </is>
      </c>
      <c r="H15" s="73" t="inlineStr">
        <is>
          <t>A personal bank payout should be accepted and an order raised for it</t>
        </is>
      </c>
      <c r="I15" s="73" t="inlineStr">
        <is>
          <t>An order exists for the payout</t>
        </is>
      </c>
      <c r="J15" s="73" t="inlineStr">
        <is>
          <t>The payout was accepted and the platform raised order 1V5ZebQww5dr6XOz for it</t>
        </is>
      </c>
      <c r="K15" s="74" t="inlineStr">
        <is>
          <t>PASS</t>
        </is>
      </c>
      <c r="L15" s="74" t="inlineStr">
        <is>
          <t>HIGH</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Global Transfer</t>
        </is>
      </c>
      <c r="C16" s="72" t="inlineStr">
        <is>
          <t>A USDT payout is sent</t>
        </is>
      </c>
      <c r="D16" s="70" t="inlineStr">
        <is>
          <t>Positive</t>
        </is>
      </c>
      <c r="E16" s="71" t="inlineStr">
        <is>
          <t>User is on the USDT payout form</t>
        </is>
      </c>
      <c r="F16" s="72" t="inlineStr">
        <is>
          <t>-Given I log into the UMPay application with valid email credentials using "&lt;row&gt;" of "&lt;excelSheetName&gt;" of "&lt;excelFileName&gt;"
-When I open the Global Transfer area
-And I take the "UMPay Transfer to USDT" route from Global Transfer
-Then the "To USDT" form should be shown
-And the payout form should ask for a currency and an amount
-And the payout form should state "Limit Min"
-And the payout should not be ready to confirm
-When I enter the stated minimum as the payout amount
-And I choose the saved payout account in "&lt;row&gt;" of "&lt;excelSheetName&gt;" of "&lt;excelFileName&gt;"
-And I confirm the payout, which moves real money
-Then the payout should go through</t>
        </is>
      </c>
      <c r="G16" s="72" t="inlineStr">
        <is>
          <t>Valid UMPay user; a USDT address</t>
        </is>
      </c>
      <c r="H16" s="73" t="inlineStr">
        <is>
          <t>A USDT payout should be accepted and an order raised for it</t>
        </is>
      </c>
      <c r="I16" s="73" t="inlineStr">
        <is>
          <t>An order exists for the payout</t>
        </is>
      </c>
      <c r="J16" s="73" t="inlineStr">
        <is>
          <t>The payout was accepted and the platform raised order Ld859bxvvnGrONgm for it</t>
        </is>
      </c>
      <c r="K16" s="74" t="inlineStr">
        <is>
          <t>PASS</t>
        </is>
      </c>
      <c r="L16" s="74" t="inlineStr">
        <is>
          <t>HIGH</t>
        </is>
      </c>
      <c r="M16" s="58" t="inlineStr">
        <is>
          <t>KIMA</t>
        </is>
      </c>
      <c r="N16" s="103" t="n">
        <v>46273</v>
      </c>
      <c r="O16" s="53" t="inlineStr">
        <is>
          <t>Window OS</t>
        </is>
      </c>
      <c r="P16" s="76" t="inlineStr">
        <is>
          <t>Chromium</t>
        </is>
      </c>
      <c r="Q16" s="70" t="n"/>
      <c r="R16" s="70" t="n"/>
      <c r="S16" s="77" t="inlineStr">
        <is>
          <t>Run</t>
        </is>
      </c>
    </row>
    <row r="17" ht="15.75" customHeight="1" s="51">
      <c r="A17" s="67" t="inlineStr">
        <is>
          <t>TC_009</t>
        </is>
      </c>
      <c r="B17" s="79" t="inlineStr">
        <is>
          <t>Global Transfer</t>
        </is>
      </c>
      <c r="C17" s="72" t="inlineStr">
        <is>
          <t>A payout below the stated minimum cannot be confirmed</t>
        </is>
      </c>
      <c r="D17" s="70" t="inlineStr">
        <is>
          <t>Negative</t>
        </is>
      </c>
      <c r="E17" s="71" t="inlineStr">
        <is>
          <t>User is on a payout form</t>
        </is>
      </c>
      <c r="F17" s="72" t="inlineStr">
        <is>
          <t>-Given I log into the UMPay application with valid email credentials using "1" of "sheet1" of "GlobalTransfer_TestData.xlsx"
-When I open the Global Transfer area
-And I take the "&lt;route&gt;" route from Global Transfer
-Then the "&lt;form&gt;" form should be shown
-When I enter one below the stated minimum as the payout amount
-Then the payout should not be ready to confirm</t>
        </is>
      </c>
      <c r="G17" s="72" t="inlineStr">
        <is>
          <t>Amount: one below the stated minimum</t>
        </is>
      </c>
      <c r="H17" s="73" t="inlineStr">
        <is>
          <t>A payout below the stated minimum should leave the form unable to confirm, on every route</t>
        </is>
      </c>
      <c r="I17" s="73" t="inlineStr">
        <is>
          <t>Nothing is sent</t>
        </is>
      </c>
      <c r="J17" s="73" t="inlineStr">
        <is>
          <t>On both routes - personal bank and USDT - one below the stated minimum left the payout not ready to confirm</t>
        </is>
      </c>
      <c r="K17" s="74" t="inlineStr">
        <is>
          <t>PASS</t>
        </is>
      </c>
      <c r="L17" s="74" t="inlineStr">
        <is>
          <t>HIGH</t>
        </is>
      </c>
      <c r="M17" s="58" t="inlineStr">
        <is>
          <t>KIMA</t>
        </is>
      </c>
      <c r="N17" s="103" t="n">
        <v>46273</v>
      </c>
      <c r="O17" s="53" t="inlineStr">
        <is>
          <t>Window OS</t>
        </is>
      </c>
      <c r="P17" s="76" t="inlineStr">
        <is>
          <t>Chromium</t>
        </is>
      </c>
      <c r="Q17" s="70" t="n"/>
      <c r="R17" s="70" t="n"/>
      <c r="S17" s="77" t="inlineStr">
        <is>
          <t>Run</t>
        </is>
      </c>
    </row>
    <row r="18" ht="15.75" customHeight="1" s="51">
      <c r="A18" s="67" t="inlineStr">
        <is>
          <t>TC_010</t>
        </is>
      </c>
      <c r="B18" s="79" t="inlineStr">
        <is>
          <t>Global Transfer</t>
        </is>
      </c>
      <c r="C18" s="72" t="inlineStr">
        <is>
          <t>A payout of more than the wallet holds cannot be confirmed</t>
        </is>
      </c>
      <c r="D18" s="70" t="inlineStr">
        <is>
          <t>Negative</t>
        </is>
      </c>
      <c r="E18" s="71" t="inlineStr">
        <is>
          <t>User is on the USDT payout form</t>
        </is>
      </c>
      <c r="F18" s="72" t="inlineStr">
        <is>
          <t>-Given I log into the UMPay application with valid email credentials using "&lt;row&gt;" of "&lt;excelSheetName&gt;" of "&lt;excelFileName&gt;"
-When I open the Global Transfer area
-And I take the "UMPay Transfer to USDT" route from Global Transfer
-Then the "To USDT" form should be shown
-When I enter more than the wallet holds as the payout amount
-Then the payout should not be ready to confirm</t>
        </is>
      </c>
      <c r="G18" s="72" t="inlineStr">
        <is>
          <t>Amount: more than the wallet holds</t>
        </is>
      </c>
      <c r="H18" s="73" t="inlineStr">
        <is>
          <t>A payout of more than the wallet holds should leave the form unable to confirm</t>
        </is>
      </c>
      <c r="I18" s="73" t="inlineStr">
        <is>
          <t>Nothing is sent</t>
        </is>
      </c>
      <c r="J18" s="73" t="inlineStr">
        <is>
          <t>More than the wallet holds left the payout not ready to confirm</t>
        </is>
      </c>
      <c r="K18" s="74" t="inlineStr">
        <is>
          <t>PASS</t>
        </is>
      </c>
      <c r="L18" s="74" t="inlineStr">
        <is>
          <t>HIGH</t>
        </is>
      </c>
      <c r="M18" s="58" t="inlineStr">
        <is>
          <t>KIMA</t>
        </is>
      </c>
      <c r="N18" s="103" t="n">
        <v>46273</v>
      </c>
      <c r="O18" s="53" t="inlineStr">
        <is>
          <t>Window OS</t>
        </is>
      </c>
      <c r="P18" s="76" t="inlineStr">
        <is>
          <t>Chromium</t>
        </is>
      </c>
      <c r="Q18" s="70" t="n"/>
      <c r="R18" s="70" t="n"/>
      <c r="S18" s="77" t="inlineStr">
        <is>
          <t>Run</t>
        </is>
      </c>
    </row>
  </sheetData>
  <dataValidations count="7">
    <dataValidation sqref="K9:K18" showDropDown="0" showInputMessage="0" showErrorMessage="1" allowBlank="1" type="list" operator="between">
      <formula1>"PASS,FAIL,PENDING"</formula1>
      <formula2>0</formula2>
    </dataValidation>
    <dataValidation sqref="P9:P18" showDropDown="0" showInputMessage="0" showErrorMessage="1" allowBlank="1" type="list" operator="between">
      <formula1>METADATA!$H$2:$H$8</formula1>
      <formula2>0</formula2>
    </dataValidation>
    <dataValidation sqref="O9:O18" showDropDown="0" showInputMessage="0" showErrorMessage="1" allowBlank="1" type="list" operator="between">
      <formula1>METADATA!$J$2:$J$7</formula1>
      <formula2>0</formula2>
    </dataValidation>
    <dataValidation sqref="D9:D18" showDropDown="0" showInputMessage="0" showErrorMessage="1" allowBlank="1" type="list" operator="between">
      <formula1>METADATA!$N$2:$N$3</formula1>
      <formula2>0</formula2>
    </dataValidation>
    <dataValidation sqref="B4 M9:M18" showDropDown="0" showInputMessage="0" showErrorMessage="1" allowBlank="1" type="list" operator="between">
      <formula1>METADATA!$F$2:$F$4</formula1>
      <formula2>0</formula2>
    </dataValidation>
    <dataValidation sqref="L9:L18" showDropDown="0" showInputMessage="0" showErrorMessage="1" allowBlank="1" type="list" operator="between">
      <formula1>"HIGH,MEDIUM,LOW"</formula1>
      <formula2>0</formula2>
    </dataValidation>
    <dataValidation sqref="B1" showDropDown="0" showInputMessage="0" showErrorMessage="1" allowBlank="1" type="list" operator="between">
      <formula1>"WPAY,UMPay,OFL,UNCS"</formula1>
      <formula2>0</formula2>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T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Profile</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46170</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46170</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Profile</t>
        </is>
      </c>
      <c r="C9" s="72" t="inlineStr">
        <is>
          <t>The drawer offers everything the account holder can reach</t>
        </is>
      </c>
      <c r="D9" s="70" t="inlineStr">
        <is>
          <t>Positive</t>
        </is>
      </c>
      <c r="E9" s="71" t="inlineStr">
        <is>
          <t>User is on Profile drawer</t>
        </is>
      </c>
      <c r="F9" s="72" t="inlineStr">
        <is>
          <t xml:space="preserve">-Given I log into the UMPay application with valid email credentials using "&lt;row&gt;" of "&lt;excelSheetName&gt;" of "&lt;excelFileName&gt;"
-When I open the profile drawer
-Then the profile drawer should offer "Trade Record, Referral Code, User List, Commission Listing, Fee Listing, Wallet, Payment, Template, Transfer Fee Setting, Document Verification, Security, Languages, Settings, Logout"
</t>
        </is>
      </c>
      <c r="G9" s="72" t="inlineStr">
        <is>
          <t>Valid UMPay user</t>
        </is>
      </c>
      <c r="H9" s="73" t="inlineStr">
        <is>
          <t>User should be able to see all the options</t>
        </is>
      </c>
      <c r="I9" s="73" t="inlineStr">
        <is>
          <t>User is still on Profile drawer page</t>
        </is>
      </c>
      <c r="J9" s="73" t="inlineStr">
        <is>
          <t>User can see all the options</t>
        </is>
      </c>
      <c r="K9" s="74" t="inlineStr">
        <is>
          <t>PASS</t>
        </is>
      </c>
      <c r="L9" s="74" t="inlineStr">
        <is>
          <t>HIGH</t>
        </is>
      </c>
      <c r="M9" s="58" t="inlineStr">
        <is>
          <t>KIMA</t>
        </is>
      </c>
      <c r="N9" s="75" t="n"/>
      <c r="O9" s="53" t="inlineStr">
        <is>
          <t>Window OS</t>
        </is>
      </c>
      <c r="P9" s="76" t="inlineStr">
        <is>
          <t>Edge</t>
        </is>
      </c>
      <c r="Q9" s="70" t="n"/>
      <c r="R9" s="70" t="n"/>
      <c r="S9" s="77" t="inlineStr">
        <is>
          <t>Run</t>
        </is>
      </c>
    </row>
    <row r="10" ht="15.75" customHeight="1" s="51">
      <c r="A10" s="67" t="inlineStr">
        <is>
          <t>TC_002</t>
        </is>
      </c>
      <c r="B10" s="79" t="inlineStr">
        <is>
          <t>Profile</t>
        </is>
      </c>
      <c r="C10" s="72" t="inlineStr">
        <is>
          <t>The drawer displays details of account owner</t>
        </is>
      </c>
      <c r="D10" s="70" t="inlineStr">
        <is>
          <t>Positive</t>
        </is>
      </c>
      <c r="E10" s="71" t="inlineStr">
        <is>
          <t>User is on Profile drawer</t>
        </is>
      </c>
      <c r="F10" s="72" t="inlineStr">
        <is>
          <t xml:space="preserve">-Given I log into the UMPay application with valid email credentials using "&lt;row&gt;" of "&lt;excelSheetName&gt;" of "&lt;excelFileName&gt;"
-When I open the profile drawer
-Then the profile drawer should show the account details in "&lt;row&gt;" of "&lt;excelSheetName&gt;" of "&lt;excelFileName&gt;"
</t>
        </is>
      </c>
      <c r="G10" s="72" t="inlineStr">
        <is>
          <t>Valid UMPay user</t>
        </is>
      </c>
      <c r="H10" s="73" t="inlineStr">
        <is>
          <t>User should be able to see details of account holder on Profile drawer</t>
        </is>
      </c>
      <c r="I10" s="73" t="inlineStr">
        <is>
          <t>User is still on Profile drawer page</t>
        </is>
      </c>
      <c r="J10" s="73" t="inlineStr">
        <is>
          <t>User can see details of account holder on Profile drawer</t>
        </is>
      </c>
      <c r="K10" s="74" t="inlineStr">
        <is>
          <t>PASS</t>
        </is>
      </c>
      <c r="L10" s="74" t="inlineStr">
        <is>
          <t>HIGH</t>
        </is>
      </c>
      <c r="M10" s="58" t="inlineStr">
        <is>
          <t>KIMA</t>
        </is>
      </c>
      <c r="N10" s="75" t="n"/>
      <c r="O10" s="53" t="inlineStr">
        <is>
          <t>Window OS</t>
        </is>
      </c>
      <c r="P10" s="76" t="inlineStr">
        <is>
          <t>Edge</t>
        </is>
      </c>
      <c r="Q10" s="70" t="n"/>
      <c r="R10" s="70" t="n"/>
      <c r="S10" s="77" t="inlineStr">
        <is>
          <t>Run</t>
        </is>
      </c>
    </row>
    <row r="11" ht="15.75" customHeight="1" s="51">
      <c r="A11" s="67" t="inlineStr">
        <is>
          <t>TC_003</t>
        </is>
      </c>
      <c r="B11" s="79" t="inlineStr">
        <is>
          <t>Profile</t>
        </is>
      </c>
      <c r="C11" s="72" t="inlineStr">
        <is>
          <t>Each function in the drawer opens its own page</t>
        </is>
      </c>
      <c r="D11" s="70" t="inlineStr">
        <is>
          <t>Positive</t>
        </is>
      </c>
      <c r="E11" s="71" t="inlineStr">
        <is>
          <t>User is on Profile drawer</t>
        </is>
      </c>
      <c r="F11" s="72" t="inlineStr">
        <is>
          <t xml:space="preserve">-Given I log into the UMPay application with valid email credentials using "&lt;row&gt;" of "&lt;excelSheetName&gt;" of "&lt;excelFileName&gt;"
-When I open the profile drawer
-And I open "&lt;function&gt;" from the profile drawer
-Then it should open the "&lt;heading&gt;" page at "&lt;address&gt;"
</t>
        </is>
      </c>
      <c r="G11" s="72" t="inlineStr">
        <is>
          <t>Valid UMPay user</t>
        </is>
      </c>
      <c r="H11" s="73" t="inlineStr">
        <is>
          <t>User should be able to open each option</t>
        </is>
      </c>
      <c r="I11" s="73" t="inlineStr">
        <is>
          <t>User is still on Profile drawer page</t>
        </is>
      </c>
      <c r="J11" s="73" t="inlineStr">
        <is>
          <t>User can open each option</t>
        </is>
      </c>
      <c r="K11" s="74" t="inlineStr">
        <is>
          <t>PASS</t>
        </is>
      </c>
      <c r="L11" s="74" t="inlineStr">
        <is>
          <t>HIGH</t>
        </is>
      </c>
      <c r="M11" s="58" t="inlineStr">
        <is>
          <t>KIMA</t>
        </is>
      </c>
      <c r="N11" s="75" t="n"/>
      <c r="O11" s="53" t="inlineStr">
        <is>
          <t>Window OS</t>
        </is>
      </c>
      <c r="P11" s="76" t="inlineStr">
        <is>
          <t>Edge</t>
        </is>
      </c>
      <c r="Q11" s="70" t="n"/>
      <c r="R11" s="70" t="n"/>
      <c r="S11" s="77" t="inlineStr">
        <is>
          <t>Run</t>
        </is>
      </c>
    </row>
    <row r="12" ht="15.75" customHeight="1" s="51">
      <c r="A12" s="67" t="inlineStr">
        <is>
          <t>TC_004</t>
        </is>
      </c>
      <c r="B12" s="79" t="inlineStr">
        <is>
          <t>Profile</t>
        </is>
      </c>
      <c r="C12" s="72" t="inlineStr">
        <is>
          <t>Logging out signs the account out</t>
        </is>
      </c>
      <c r="D12" s="70" t="inlineStr">
        <is>
          <t>Positive</t>
        </is>
      </c>
      <c r="E12" s="71" t="inlineStr">
        <is>
          <t>User is on Profile drawer</t>
        </is>
      </c>
      <c r="F12" s="72" t="inlineStr">
        <is>
          <t>-Given I log into the UMPay application with valid email credentials using "&lt;row&gt;" of "&lt;excelSheetName&gt;" of "&lt;excelFileName&gt;"
-When I open the profile drawer
-And I ask to log out
-Then the application should ask whether I mean it
-When I answer "Yes"
-Then I should be signed out</t>
        </is>
      </c>
      <c r="G12" s="72" t="inlineStr">
        <is>
          <t>Valid UMPay user</t>
        </is>
      </c>
      <c r="H12" s="73" t="inlineStr">
        <is>
          <t>User should be able to logout</t>
        </is>
      </c>
      <c r="I12" s="73" t="inlineStr">
        <is>
          <t>User is still on Profile drawer page</t>
        </is>
      </c>
      <c r="J12" s="73" t="inlineStr">
        <is>
          <t>User can logout</t>
        </is>
      </c>
      <c r="K12" s="74" t="inlineStr">
        <is>
          <t>PASS</t>
        </is>
      </c>
      <c r="L12" s="74" t="inlineStr">
        <is>
          <t>HIGH</t>
        </is>
      </c>
      <c r="M12" s="58" t="inlineStr">
        <is>
          <t>KIMA</t>
        </is>
      </c>
      <c r="N12" s="75" t="n"/>
      <c r="O12" s="53" t="inlineStr">
        <is>
          <t>Window OS</t>
        </is>
      </c>
      <c r="P12" s="76" t="inlineStr">
        <is>
          <t>Edge</t>
        </is>
      </c>
      <c r="Q12" s="70" t="n"/>
      <c r="R12" s="70" t="n"/>
      <c r="S12" s="77" t="inlineStr">
        <is>
          <t>Run</t>
        </is>
      </c>
    </row>
    <row r="13" ht="15.75" customHeight="1" s="51">
      <c r="A13" s="67" t="inlineStr">
        <is>
          <t>TC_005</t>
        </is>
      </c>
      <c r="B13" s="79" t="inlineStr">
        <is>
          <t>Profile</t>
        </is>
      </c>
      <c r="C13" s="72" t="inlineStr">
        <is>
          <t>Copying the referral code puts it on the clipboard</t>
        </is>
      </c>
      <c r="D13" s="70" t="inlineStr">
        <is>
          <t>Positive</t>
        </is>
      </c>
      <c r="E13" s="71" t="inlineStr">
        <is>
          <t>User is signed in and the profile drawer is open</t>
        </is>
      </c>
      <c r="F13" s="72" t="inlineStr">
        <is>
          <t>-Given I log into the UMPay application with valid email credentials using "&lt;row&gt;" of "&lt;excelSheetName&gt;" of "&lt;excelFileName&gt;"
-When I open the profile drawer
-And I copy my referral code
-Then the referral code should be on the clipboard</t>
        </is>
      </c>
      <c r="G13" s="72" t="inlineStr">
        <is>
          <t>Valid UMPay user</t>
        </is>
      </c>
      <c r="H13" s="73" t="inlineStr">
        <is>
          <t>The control beside the referral code should copy it, and what reaches the clipboard should be the code the drawer shows rather than anything else</t>
        </is>
      </c>
      <c r="I13" s="73" t="inlineStr">
        <is>
          <t>The referral code is on the clipboard</t>
        </is>
      </c>
      <c r="J13" s="73" t="inlineStr">
        <is>
          <t>The drawer showed 3RNAYW and offered a control beside it. Pressing it put 3RNAYW on the clipboard - the same code the drawer shows</t>
        </is>
      </c>
      <c r="K13" s="74" t="inlineStr">
        <is>
          <t>PASS</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Profile</t>
        </is>
      </c>
      <c r="C14" s="72" t="inlineStr">
        <is>
          <t>The application confirms the referral code was copied</t>
        </is>
      </c>
      <c r="D14" s="70" t="inlineStr">
        <is>
          <t>Positive</t>
        </is>
      </c>
      <c r="E14" s="71" t="inlineStr">
        <is>
          <t>User is signed in and the profile drawer is open</t>
        </is>
      </c>
      <c r="F14" s="72" t="inlineStr">
        <is>
          <t>-Given I log into the UMPay application with valid email credentials using "&lt;row&gt;" of "&lt;excelSheetName&gt;" of "&lt;excelFileName&gt;"
-When I open the profile drawer
-And I copy my referral code
-Then the application should confirm the referral code was copied</t>
        </is>
      </c>
      <c r="G14" s="72" t="inlineStr">
        <is>
          <t>Valid UMPay user</t>
        </is>
      </c>
      <c r="H14" s="73" t="inlineStr">
        <is>
          <t>The application should say the code was copied and name it, since copying leaves nothing on the screen to see and there would otherwise be no way to tell the press was heard</t>
        </is>
      </c>
      <c r="I14" s="73" t="inlineStr">
        <is>
          <t>The referral code is on the clipboard</t>
        </is>
      </c>
      <c r="J14" s="73" t="inlineStr">
        <is>
          <t>The application answered "Referral code 3RNAYW", naming the code it had copied</t>
        </is>
      </c>
      <c r="K14" s="74" t="inlineStr">
        <is>
          <t>PASS</t>
        </is>
      </c>
      <c r="L14" s="74" t="inlineStr">
        <is>
          <t>MEDIUM</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Profile</t>
        </is>
      </c>
      <c r="C15" s="72" t="inlineStr">
        <is>
          <t>The referral code does not change between readings</t>
        </is>
      </c>
      <c r="D15" s="70" t="inlineStr">
        <is>
          <t>Positive</t>
        </is>
      </c>
      <c r="E15" s="71" t="inlineStr">
        <is>
          <t>User is signed in</t>
        </is>
      </c>
      <c r="F15" s="72" t="inlineStr">
        <is>
          <t>-Given I log into the UMPay application with valid email credentials using "&lt;row&gt;" of "&lt;excelSheetName&gt;" of "&lt;excelFileName&gt;"
-When I open the profile drawer
-Then the referral code should read the same each time the drawer is opened</t>
        </is>
      </c>
      <c r="G15" s="72" t="inlineStr">
        <is>
          <t>Valid UMPay user</t>
        </is>
      </c>
      <c r="H15" s="73" t="inlineStr">
        <is>
          <t>The code should read the same each time the drawer is opened, since a code that changed would break every link and message this account had already sent out</t>
        </is>
      </c>
      <c r="I15" s="73" t="inlineStr">
        <is>
          <t>User is on the Home page</t>
        </is>
      </c>
      <c r="J15" s="73" t="inlineStr">
        <is>
          <t>The code read 3RNAYW on both openings of the drawer</t>
        </is>
      </c>
      <c r="K15" s="74" t="inlineStr">
        <is>
          <t>PASS</t>
        </is>
      </c>
      <c r="L15" s="74" t="inlineStr">
        <is>
          <t>HIGH</t>
        </is>
      </c>
      <c r="M15" s="58" t="inlineStr">
        <is>
          <t>KIMA</t>
        </is>
      </c>
      <c r="N15" s="103" t="n">
        <v>46273</v>
      </c>
      <c r="O15" s="53" t="inlineStr">
        <is>
          <t>Window OS</t>
        </is>
      </c>
      <c r="P15" s="76" t="inlineStr">
        <is>
          <t>Chromium</t>
        </is>
      </c>
      <c r="Q15" s="70" t="n"/>
      <c r="R15" s="70" t="n"/>
      <c r="S15" s="77" t="inlineStr">
        <is>
          <t>Run</t>
        </is>
      </c>
    </row>
  </sheetData>
  <dataValidations count="7">
    <dataValidation sqref="K9:K15" showDropDown="0" showInputMessage="0" showErrorMessage="1" allowBlank="1" type="list" operator="between">
      <formula1>"PASS,FAIL,PENDING"</formula1>
      <formula2>0</formula2>
    </dataValidation>
    <dataValidation sqref="P9:P15" showDropDown="0" showInputMessage="0" showErrorMessage="1" allowBlank="1" type="list" operator="between">
      <formula1>METADATA!$H$2:$H$8</formula1>
      <formula2>0</formula2>
    </dataValidation>
    <dataValidation sqref="O9:O15" showDropDown="0" showInputMessage="0" showErrorMessage="1" allowBlank="1" type="list" operator="between">
      <formula1>METADATA!$J$2:$J$7</formula1>
      <formula2>0</formula2>
    </dataValidation>
    <dataValidation sqref="D9:D15" showDropDown="0" showInputMessage="0" showErrorMessage="1" allowBlank="1" type="list" operator="between">
      <formula1>METADATA!$N$2:$N$3</formula1>
      <formula2>0</formula2>
    </dataValidation>
    <dataValidation sqref="B4 M9:M15" showDropDown="0" showInputMessage="0" showErrorMessage="1" allowBlank="1" type="list" operator="between">
      <formula1>METADATA!$F$2:$F$4</formula1>
      <formula2>0</formula2>
    </dataValidation>
    <dataValidation sqref="L9:L15" showDropDown="0" showInputMessage="0" showErrorMessage="1" allowBlank="1" type="list" operator="between">
      <formula1>"HIGH,MEDIUM,LOW"</formula1>
      <formula2>0</formula2>
    </dataValidation>
    <dataValidation sqref="B1" showDropDown="0" showInputMessage="0" showErrorMessage="1" allowBlank="1" type="list" operator="between">
      <formula1>"WPAY,UMPay,OFL,UNCS"</formula1>
      <formula2>0</formula2>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T18"/>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Bills</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46272</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46272</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Bills</t>
        </is>
      </c>
      <c r="C9" s="72" t="inlineStr">
        <is>
          <t>The Bills page lists the account's transactions</t>
        </is>
      </c>
      <c r="D9" s="70" t="inlineStr">
        <is>
          <t>Positive</t>
        </is>
      </c>
      <c r="E9" s="71" t="inlineStr">
        <is>
          <t>User is signed in</t>
        </is>
      </c>
      <c r="F9" s="72" t="inlineStr">
        <is>
          <t>-Given I log into the UMPay application with valid email credentials using "&lt;row&gt;" of "&lt;excelSheetName&gt;" of "&lt;excelFileName&gt;"
-When I open the Bills page
-Then the ledger should list the account's transactions</t>
        </is>
      </c>
      <c r="G9" s="72" t="inlineStr">
        <is>
          <t>Valid UMPay user</t>
        </is>
      </c>
      <c r="H9" s="73" t="inlineStr">
        <is>
          <t>Every transaction the account has made should be listed, newest first, each naming its kind, when it happened and how much moved</t>
        </is>
      </c>
      <c r="I9" s="73" t="inlineStr">
        <is>
          <t>User is on the Bills page</t>
        </is>
      </c>
      <c r="J9" s="73" t="inlineStr">
        <is>
          <t>The ledger listed the account's transactions, newest first</t>
        </is>
      </c>
      <c r="K9" s="74" t="inlineStr">
        <is>
          <t>PASS</t>
        </is>
      </c>
      <c r="L9" s="74" t="inlineStr">
        <is>
          <t>HIGH</t>
        </is>
      </c>
      <c r="M9" s="58" t="inlineStr">
        <is>
          <t>KIMA</t>
        </is>
      </c>
      <c r="N9" s="103" t="n">
        <v>46272</v>
      </c>
      <c r="O9" s="53" t="inlineStr">
        <is>
          <t>Window OS</t>
        </is>
      </c>
      <c r="P9" s="76" t="inlineStr">
        <is>
          <t>Chromium</t>
        </is>
      </c>
      <c r="Q9" s="70" t="n"/>
      <c r="R9" s="70" t="n"/>
      <c r="S9" s="77" t="inlineStr">
        <is>
          <t>Run</t>
        </is>
      </c>
    </row>
    <row r="10" ht="15.75" customHeight="1" s="51">
      <c r="A10" s="67" t="inlineStr">
        <is>
          <t>TC_002</t>
        </is>
      </c>
      <c r="B10" s="79" t="inlineStr">
        <is>
          <t>Bills</t>
        </is>
      </c>
      <c r="C10" s="72" t="inlineStr">
        <is>
          <t>The ledger can be narrowed to any kind of transaction</t>
        </is>
      </c>
      <c r="D10" s="70" t="inlineStr">
        <is>
          <t>Positive</t>
        </is>
      </c>
      <c r="E10" s="71" t="inlineStr">
        <is>
          <t>User is on the Bills page</t>
        </is>
      </c>
      <c r="F10" s="72" t="inlineStr">
        <is>
          <t>-Given I log into the UMPay application with valid email credentials using "&lt;row&gt;" of "&lt;excelSheetName&gt;" of "&lt;excelFileName&gt;"
-When I open the Bills page
-Then the ledger should offer to filter by "All, Transfer, Convert, Deposit, Withdraw, Transfer To Card, Card Withdraw, Alipay Transfer, Direct Deposit, Direct Withdraw, Unionpay Transfer, Voucher Fee, International School Fee, Pay, UnionPay Card Topup"</t>
        </is>
      </c>
      <c r="G10" s="72" t="inlineStr">
        <is>
          <t>Valid UMPay user</t>
        </is>
      </c>
      <c r="H10" s="73" t="inlineStr">
        <is>
          <t>The filter should offer every kind of transaction the platform records</t>
        </is>
      </c>
      <c r="I10" s="73" t="inlineStr">
        <is>
          <t>User is on the Bills page</t>
        </is>
      </c>
      <c r="J10" s="73" t="inlineStr">
        <is>
          <t>The type filter offered every kind the platform records</t>
        </is>
      </c>
      <c r="K10" s="74" t="inlineStr">
        <is>
          <t>PASS</t>
        </is>
      </c>
      <c r="L10" s="74" t="inlineStr">
        <is>
          <t>MEDIUM</t>
        </is>
      </c>
      <c r="M10" s="58" t="inlineStr">
        <is>
          <t>KIMA</t>
        </is>
      </c>
      <c r="N10" s="103" t="n">
        <v>46272</v>
      </c>
      <c r="O10" s="53" t="inlineStr">
        <is>
          <t>Window OS</t>
        </is>
      </c>
      <c r="P10" s="76" t="inlineStr">
        <is>
          <t>Chromium</t>
        </is>
      </c>
      <c r="Q10" s="70" t="n"/>
      <c r="R10" s="70" t="n"/>
      <c r="S10" s="77" t="inlineStr">
        <is>
          <t>Run</t>
        </is>
      </c>
    </row>
    <row r="11" ht="15.75" customHeight="1" s="51">
      <c r="A11" s="67" t="inlineStr">
        <is>
          <t>TC_003</t>
        </is>
      </c>
      <c r="B11" s="79" t="inlineStr">
        <is>
          <t>Bills Filter</t>
        </is>
      </c>
      <c r="C11" s="72" t="inlineStr">
        <is>
          <t>Filtering by a kind of transaction leaves only that kind</t>
        </is>
      </c>
      <c r="D11" s="70" t="inlineStr">
        <is>
          <t>Positive</t>
        </is>
      </c>
      <c r="E11" s="71" t="inlineStr">
        <is>
          <t>User is on the Bills page</t>
        </is>
      </c>
      <c r="F11" s="72" t="inlineStr">
        <is>
          <t>-Given I log into the UMPay application with valid email credentials using "&lt;row&gt;" of "&lt;excelSheetName&gt;" of "&lt;excelFileName&gt;"
-When I open the Bills page
-And I filter the ledger by the type in "&lt;row&gt;" of "&lt;excelSheetName&gt;" of "&lt;excelFileName&gt;"
-Then every transaction listed should be a "Convert"</t>
        </is>
      </c>
      <c r="G11" s="72" t="inlineStr">
        <is>
          <t>Type: Convert</t>
        </is>
      </c>
      <c r="H11" s="73" t="inlineStr">
        <is>
          <t>Only transactions of the chosen kind should be listed</t>
        </is>
      </c>
      <c r="I11" s="73" t="inlineStr">
        <is>
          <t>User is on the Bills page</t>
        </is>
      </c>
      <c r="J11" s="73" t="inlineStr">
        <is>
          <t>Filtering by Convert left only Convert transactions</t>
        </is>
      </c>
      <c r="K11" s="74" t="inlineStr">
        <is>
          <t>PASS</t>
        </is>
      </c>
      <c r="L11" s="74" t="inlineStr">
        <is>
          <t>HIGH</t>
        </is>
      </c>
      <c r="M11" s="58" t="inlineStr">
        <is>
          <t>KIMA</t>
        </is>
      </c>
      <c r="N11" s="103" t="n">
        <v>46272</v>
      </c>
      <c r="O11" s="53" t="inlineStr">
        <is>
          <t>Window OS</t>
        </is>
      </c>
      <c r="P11" s="76" t="inlineStr">
        <is>
          <t>Chromium</t>
        </is>
      </c>
      <c r="Q11" s="70" t="n"/>
      <c r="R11" s="70" t="n"/>
      <c r="S11" s="77" t="inlineStr">
        <is>
          <t>Run</t>
        </is>
      </c>
    </row>
    <row r="12" ht="15.75" customHeight="1" s="51">
      <c r="A12" s="67" t="inlineStr">
        <is>
          <t>TC_004</t>
        </is>
      </c>
      <c r="B12" s="79" t="inlineStr">
        <is>
          <t>Bills Filter</t>
        </is>
      </c>
      <c r="C12" s="72" t="inlineStr">
        <is>
          <t>Filtering by amount leaves only what falls inside the band</t>
        </is>
      </c>
      <c r="D12" s="70" t="inlineStr">
        <is>
          <t>Positive</t>
        </is>
      </c>
      <c r="E12" s="71" t="inlineStr">
        <is>
          <t>User is on the Bills page</t>
        </is>
      </c>
      <c r="F12" s="72" t="inlineStr">
        <is>
          <t>-Given I log into the UMPay application with valid email credentials using "&lt;row&gt;" of "&lt;excelSheetName&gt;" of "&lt;excelFileName&gt;"
-When I open the Bills page
-And I filter the ledger by the amounts in "&lt;row&gt;" of "&lt;excelSheetName&gt;" of "&lt;excelFileName&gt;"
-Then every amount listed should be between "1" and "100"</t>
        </is>
      </c>
      <c r="G12" s="72" t="inlineStr">
        <is>
          <t>Amount between 1 and 100</t>
        </is>
      </c>
      <c r="H12" s="73" t="inlineStr">
        <is>
          <t>Only transactions whose amount falls inside the band should be listed</t>
        </is>
      </c>
      <c r="I12" s="73" t="inlineStr">
        <is>
          <t>User is on the Bills page</t>
        </is>
      </c>
      <c r="J12" s="73" t="inlineStr">
        <is>
          <t>Only amounts between 1 and 100 were listed</t>
        </is>
      </c>
      <c r="K12" s="74" t="inlineStr">
        <is>
          <t>PASS</t>
        </is>
      </c>
      <c r="L12" s="74" t="inlineStr">
        <is>
          <t>MEDIUM</t>
        </is>
      </c>
      <c r="M12" s="58" t="inlineStr">
        <is>
          <t>KIMA</t>
        </is>
      </c>
      <c r="N12" s="103" t="n">
        <v>46272</v>
      </c>
      <c r="O12" s="53" t="inlineStr">
        <is>
          <t>Window OS</t>
        </is>
      </c>
      <c r="P12" s="76" t="inlineStr">
        <is>
          <t>Chromium</t>
        </is>
      </c>
      <c r="Q12" s="70" t="n"/>
      <c r="R12" s="70" t="n"/>
      <c r="S12" s="77" t="inlineStr">
        <is>
          <t>Run</t>
        </is>
      </c>
    </row>
    <row r="13" ht="15.75" customHeight="1" s="51">
      <c r="A13" s="67" t="inlineStr">
        <is>
          <t>TC_005</t>
        </is>
      </c>
      <c r="B13" s="79" t="inlineStr">
        <is>
          <t>Bills Filter</t>
        </is>
      </c>
      <c r="C13" s="72" t="inlineStr">
        <is>
          <t>Filtering by day leaves only that day</t>
        </is>
      </c>
      <c r="D13" s="70" t="inlineStr">
        <is>
          <t>Positive</t>
        </is>
      </c>
      <c r="E13" s="71" t="inlineStr">
        <is>
          <t>User is on the Bills page</t>
        </is>
      </c>
      <c r="F13" s="72" t="inlineStr">
        <is>
          <t>-Given I log into the UMPay application with valid email credentials using "&lt;row&gt;" of "&lt;excelSheetName&gt;" of "&lt;excelFileName&gt;"
-When I open the Bills page
-And I filter the ledger to the day of its newest transaction
-Then every transaction listed should be from that day</t>
        </is>
      </c>
      <c r="G13" s="72" t="inlineStr">
        <is>
          <t>The day the newest transaction happened</t>
        </is>
      </c>
      <c r="H13" s="73" t="inlineStr">
        <is>
          <t>Only transactions from that day should be listed</t>
        </is>
      </c>
      <c r="I13" s="73" t="inlineStr">
        <is>
          <t>User is on the Bills page</t>
        </is>
      </c>
      <c r="J13" s="73" t="inlineStr">
        <is>
          <t>Only transactions from the chosen day were listed</t>
        </is>
      </c>
      <c r="K13" s="74" t="inlineStr">
        <is>
          <t>PASS</t>
        </is>
      </c>
      <c r="L13" s="74" t="inlineStr">
        <is>
          <t>MEDIUM</t>
        </is>
      </c>
      <c r="M13" s="58" t="inlineStr">
        <is>
          <t>KIMA</t>
        </is>
      </c>
      <c r="N13" s="103" t="n">
        <v>46272</v>
      </c>
      <c r="O13" s="53" t="inlineStr">
        <is>
          <t>Window OS</t>
        </is>
      </c>
      <c r="P13" s="76" t="inlineStr">
        <is>
          <t>Chromium</t>
        </is>
      </c>
      <c r="Q13" s="70" t="n"/>
      <c r="R13" s="70" t="n"/>
      <c r="S13" s="77" t="inlineStr">
        <is>
          <t>Run</t>
        </is>
      </c>
    </row>
    <row r="14" ht="15.75" customHeight="1" s="51">
      <c r="A14" s="67" t="inlineStr">
        <is>
          <t>TC_006</t>
        </is>
      </c>
      <c r="B14" s="79" t="inlineStr">
        <is>
          <t>Bills Filter</t>
        </is>
      </c>
      <c r="C14" s="72" t="inlineStr">
        <is>
          <t>A stretch of days with nothing in it says so</t>
        </is>
      </c>
      <c r="D14" s="70" t="inlineStr">
        <is>
          <t>Negative</t>
        </is>
      </c>
      <c r="E14" s="71" t="inlineStr">
        <is>
          <t>User is on the Bills page</t>
        </is>
      </c>
      <c r="F14" s="72" t="inlineStr">
        <is>
          <t>-Given I log into the UMPay application with valid email credentials using "&lt;row&gt;" of "&lt;excelSheetName&gt;" of "&lt;excelFileName&gt;"
-When I open the Bills page
-And I filter the ledger by the dates in "&lt;row&gt;" of "&lt;excelSheetName&gt;" of "&lt;excelFileName&gt;"
-Then the ledger should say it has nothing to show</t>
        </is>
      </c>
      <c r="G14" s="72" t="inlineStr">
        <is>
          <t>Dates: 2020-01-01 to 2020-01-02</t>
        </is>
      </c>
      <c r="H14" s="73" t="inlineStr">
        <is>
          <t>The page should say it has no data rather than showing an unfiltered list</t>
        </is>
      </c>
      <c r="I14" s="73" t="inlineStr">
        <is>
          <t>User is on the Bills page</t>
        </is>
      </c>
      <c r="J14" s="73" t="inlineStr">
        <is>
          <t>The ledger said it had no data for those dates</t>
        </is>
      </c>
      <c r="K14" s="74" t="inlineStr">
        <is>
          <t>PASS</t>
        </is>
      </c>
      <c r="L14" s="74" t="inlineStr">
        <is>
          <t>MEDIUM</t>
        </is>
      </c>
      <c r="M14" s="58" t="inlineStr">
        <is>
          <t>KIMA</t>
        </is>
      </c>
      <c r="N14" s="103" t="n">
        <v>46272</v>
      </c>
      <c r="O14" s="53" t="inlineStr">
        <is>
          <t>Window OS</t>
        </is>
      </c>
      <c r="P14" s="76" t="inlineStr">
        <is>
          <t>Chromium</t>
        </is>
      </c>
      <c r="Q14" s="70" t="n"/>
      <c r="R14" s="70" t="n"/>
      <c r="S14" s="77" t="inlineStr">
        <is>
          <t>Run</t>
        </is>
      </c>
    </row>
    <row r="15" ht="15.75" customHeight="1" s="51">
      <c r="A15" s="67" t="inlineStr">
        <is>
          <t>TC_007</t>
        </is>
      </c>
      <c r="B15" s="79" t="inlineStr">
        <is>
          <t>Bills Filter</t>
        </is>
      </c>
      <c r="C15" s="72" t="inlineStr">
        <is>
          <t>Reset brings the whole ledger back</t>
        </is>
      </c>
      <c r="D15" s="70" t="inlineStr">
        <is>
          <t>Positive</t>
        </is>
      </c>
      <c r="E15" s="71" t="inlineStr">
        <is>
          <t>A filter matching nothing has been applied</t>
        </is>
      </c>
      <c r="F15" s="72" t="inlineStr">
        <is>
          <t>-Given I log into the UMPay application with valid email credentials using "&lt;row&gt;" of "&lt;excelSheetName&gt;" of "&lt;excelFileName&gt;"
-When I open the Bills page
-And I filter the ledger by the dates in "&lt;row&gt;" of "&lt;excelSheetName&gt;" of "&lt;excelFileName&gt;"
-Then the ledger should say it has nothing to show
-When I reset the filters
-Then the ledger should list the account's transactions again</t>
        </is>
      </c>
      <c r="G15" s="72" t="inlineStr">
        <is>
          <t>Dates: 2020-01-01 to 2020-01-02</t>
        </is>
      </c>
      <c r="H15" s="73" t="inlineStr">
        <is>
          <t>Reset should clear the filter and list the account transactions again</t>
        </is>
      </c>
      <c r="I15" s="73" t="inlineStr">
        <is>
          <t>User is on the Bills page</t>
        </is>
      </c>
      <c r="J15" s="73" t="inlineStr">
        <is>
          <t>Reset cleared the filter and brought the whole ledger back</t>
        </is>
      </c>
      <c r="K15" s="74" t="inlineStr">
        <is>
          <t>PASS</t>
        </is>
      </c>
      <c r="L15" s="74" t="inlineStr">
        <is>
          <t>HIGH</t>
        </is>
      </c>
      <c r="M15" s="58" t="inlineStr">
        <is>
          <t>KIMA</t>
        </is>
      </c>
      <c r="N15" s="103" t="n">
        <v>46272</v>
      </c>
      <c r="O15" s="53" t="inlineStr">
        <is>
          <t>Window OS</t>
        </is>
      </c>
      <c r="P15" s="76" t="inlineStr">
        <is>
          <t>Chromium</t>
        </is>
      </c>
      <c r="Q15" s="70" t="n"/>
      <c r="R15" s="70" t="n"/>
      <c r="S15" s="77" t="inlineStr">
        <is>
          <t>Run</t>
        </is>
      </c>
    </row>
    <row r="16" ht="15.75" customHeight="1" s="51">
      <c r="A16" s="67" t="inlineStr">
        <is>
          <t>TC_008</t>
        </is>
      </c>
      <c r="B16" s="79" t="inlineStr">
        <is>
          <t>Bills Detail</t>
        </is>
      </c>
      <c r="C16" s="72" t="inlineStr">
        <is>
          <t>A transaction opens its own detail</t>
        </is>
      </c>
      <c r="D16" s="70" t="inlineStr">
        <is>
          <t>Positive</t>
        </is>
      </c>
      <c r="E16" s="71" t="inlineStr">
        <is>
          <t>User is on the Bills page</t>
        </is>
      </c>
      <c r="F16" s="72" t="inlineStr">
        <is>
          <t>-Given I log into the UMPay application with valid email credentials using "&lt;row&gt;" of "&lt;excelSheetName&gt;" of "&lt;excelFileName&gt;"
-When I open the Bills page
-And I open the newest transaction
-Then the transaction detail should name the transaction, when it happened and what moved</t>
        </is>
      </c>
      <c r="G16" s="72" t="inlineStr">
        <is>
          <t>Valid UMPay user</t>
        </is>
      </c>
      <c r="H16" s="73" t="inlineStr">
        <is>
          <t>The transaction should open a detail naming its number, when it happened and what moved</t>
        </is>
      </c>
      <c r="I16" s="73" t="inlineStr">
        <is>
          <t>User is on the Bills page</t>
        </is>
      </c>
      <c r="J16" s="73" t="inlineStr">
        <is>
          <t>The detail named the transaction number, the date and what moved</t>
        </is>
      </c>
      <c r="K16" s="74" t="inlineStr">
        <is>
          <t>PASS</t>
        </is>
      </c>
      <c r="L16" s="74" t="inlineStr">
        <is>
          <t>HIGH</t>
        </is>
      </c>
      <c r="M16" s="58" t="inlineStr">
        <is>
          <t>KIMA</t>
        </is>
      </c>
      <c r="N16" s="103" t="n">
        <v>46272</v>
      </c>
      <c r="O16" s="53" t="inlineStr">
        <is>
          <t>Window OS</t>
        </is>
      </c>
      <c r="P16" s="76" t="inlineStr">
        <is>
          <t>Chromium</t>
        </is>
      </c>
      <c r="Q16" s="70" t="n"/>
      <c r="R16" s="70" t="n"/>
      <c r="S16" s="77" t="inlineStr">
        <is>
          <t>Run</t>
        </is>
      </c>
    </row>
    <row r="17" ht="15.75" customHeight="1" s="51">
      <c r="A17" s="67" t="inlineStr">
        <is>
          <t>TC_009</t>
        </is>
      </c>
      <c r="B17" s="79" t="inlineStr">
        <is>
          <t>Bills Detail</t>
        </is>
      </c>
      <c r="C17" s="72" t="inlineStr">
        <is>
          <t>A transaction's receipt can be downloaded</t>
        </is>
      </c>
      <c r="D17" s="70" t="inlineStr">
        <is>
          <t>Positive</t>
        </is>
      </c>
      <c r="E17" s="71" t="inlineStr">
        <is>
          <t>A transaction detail is open</t>
        </is>
      </c>
      <c r="F17" s="72" t="inlineStr">
        <is>
          <t>-Given I log into the UMPay application with valid email credentials using "&lt;row&gt;" of "&lt;excelSheetName&gt;" of "&lt;excelFileName&gt;"
-When I open the Bills page
-And I open the newest transaction
-Then downloading the transaction should produce a file</t>
        </is>
      </c>
      <c r="G17" s="72" t="inlineStr">
        <is>
          <t>Valid UMPay user</t>
        </is>
      </c>
      <c r="H17" s="73" t="inlineStr">
        <is>
          <t>Download should produce a receipt file with content in it</t>
        </is>
      </c>
      <c r="I17" s="73" t="inlineStr">
        <is>
          <t>User is on the Bills page</t>
        </is>
      </c>
      <c r="J17" s="73" t="inlineStr">
        <is>
          <t>Download produced a receipt file with content in it</t>
        </is>
      </c>
      <c r="K17" s="74" t="inlineStr">
        <is>
          <t>PASS</t>
        </is>
      </c>
      <c r="L17" s="74" t="inlineStr">
        <is>
          <t>MEDIUM</t>
        </is>
      </c>
      <c r="M17" s="58" t="inlineStr">
        <is>
          <t>KIMA</t>
        </is>
      </c>
      <c r="N17" s="103" t="n">
        <v>46272</v>
      </c>
      <c r="O17" s="53" t="inlineStr">
        <is>
          <t>Window OS</t>
        </is>
      </c>
      <c r="P17" s="76" t="inlineStr">
        <is>
          <t>Chromium</t>
        </is>
      </c>
      <c r="Q17" s="70" t="n"/>
      <c r="R17" s="70" t="n"/>
      <c r="S17" s="77" t="inlineStr">
        <is>
          <t>Run</t>
        </is>
      </c>
    </row>
    <row r="18" ht="15.75" customHeight="1" s="51">
      <c r="A18" s="67" t="inlineStr">
        <is>
          <t>TC_010</t>
        </is>
      </c>
      <c r="B18" s="79" t="inlineStr">
        <is>
          <t>Bills Detail</t>
        </is>
      </c>
      <c r="C18" s="72" t="inlineStr">
        <is>
          <t>A transaction can be shared</t>
        </is>
      </c>
      <c r="D18" s="70" t="inlineStr">
        <is>
          <t>Positive</t>
        </is>
      </c>
      <c r="E18" s="71" t="inlineStr">
        <is>
          <t>A transaction detail is open</t>
        </is>
      </c>
      <c r="F18" s="72" t="inlineStr">
        <is>
          <t>-Given I log into the UMPay application with valid email credentials using "&lt;row&gt;" of "&lt;excelSheetName&gt;" of "&lt;excelFileName&gt;"
-When I open the Bills page
-And I open the newest transaction
-When I share the transaction
-Then the sharing choices should offer a way to copy the transaction</t>
        </is>
      </c>
      <c r="G18" s="72" t="inlineStr">
        <is>
          <t>Valid UMPay user</t>
        </is>
      </c>
      <c r="H18" s="73" t="inlineStr">
        <is>
          <t>Share should offer a way to copy the transaction</t>
        </is>
      </c>
      <c r="I18" s="73" t="inlineStr">
        <is>
          <t>User is on the Bills page</t>
        </is>
      </c>
      <c r="J18" s="73" t="inlineStr">
        <is>
          <t>Share offered a way to copy the transaction</t>
        </is>
      </c>
      <c r="K18" s="74" t="inlineStr">
        <is>
          <t>PASS</t>
        </is>
      </c>
      <c r="L18" s="74" t="inlineStr">
        <is>
          <t>MEDIUM</t>
        </is>
      </c>
      <c r="M18" s="58" t="inlineStr">
        <is>
          <t>KIMA</t>
        </is>
      </c>
      <c r="N18" s="103" t="n">
        <v>46272</v>
      </c>
      <c r="O18" s="53" t="inlineStr">
        <is>
          <t>Window OS</t>
        </is>
      </c>
      <c r="P18" s="76" t="inlineStr">
        <is>
          <t>Chromium</t>
        </is>
      </c>
      <c r="Q18" s="70" t="n"/>
      <c r="R18" s="70" t="n"/>
      <c r="S18" s="77" t="inlineStr">
        <is>
          <t>Run</t>
        </is>
      </c>
    </row>
  </sheetData>
  <dataValidations count="7">
    <dataValidation sqref="K9:K18" showDropDown="0" showInputMessage="0" showErrorMessage="0" allowBlank="1" type="list">
      <formula1>"PASS,FAIL,PENDING"</formula1>
    </dataValidation>
    <dataValidation sqref="P9:P18" showDropDown="0" showInputMessage="0" showErrorMessage="0" allowBlank="1" type="list">
      <formula1>METADATA!$H$2:$H$8</formula1>
    </dataValidation>
    <dataValidation sqref="O9:O18" showDropDown="0" showInputMessage="0" showErrorMessage="0" allowBlank="1" type="list">
      <formula1>METADATA!$J$2:$J$7</formula1>
    </dataValidation>
    <dataValidation sqref="D9:D18" showDropDown="0" showInputMessage="0" showErrorMessage="0" allowBlank="1" type="list">
      <formula1>METADATA!$N$2:$N$3</formula1>
    </dataValidation>
    <dataValidation sqref="B4 M9:M18" showDropDown="0" showInputMessage="0" showErrorMessage="0" allowBlank="1" type="list">
      <formula1>METADATA!$F$2:$F$4</formula1>
    </dataValidation>
    <dataValidation sqref="L9:L18"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T19"/>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Notification</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46272</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46272</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Notification</t>
        </is>
      </c>
      <c r="C9" s="72" t="inlineStr">
        <is>
          <t>The bell opens the account's notifications</t>
        </is>
      </c>
      <c r="D9" s="70" t="inlineStr">
        <is>
          <t>Positive</t>
        </is>
      </c>
      <c r="E9" s="71" t="inlineStr">
        <is>
          <t>User is signed in</t>
        </is>
      </c>
      <c r="F9" s="72" t="inlineStr">
        <is>
          <t>-Given I log into the UMPay application with valid email credentials using "&lt;row&gt;" of "&lt;excelSheetName&gt;" of "&lt;excelFileName&gt;"
-When I open the Notifications page
-Then the notifications should list what the platform has told the account</t>
        </is>
      </c>
      <c r="G9" s="72" t="inlineStr">
        <is>
          <t>Valid UMPay user</t>
        </is>
      </c>
      <c r="H9" s="73" t="inlineStr">
        <is>
          <t>The bell should open the notification page, listing what the platform has told the account</t>
        </is>
      </c>
      <c r="I9" s="73" t="inlineStr">
        <is>
          <t>User is on the Notification page</t>
        </is>
      </c>
      <c r="J9" s="73" t="inlineStr">
        <is>
          <t>The bell opened /v2/notification and listed the notifications</t>
        </is>
      </c>
      <c r="K9" s="74" t="inlineStr">
        <is>
          <t>PASS</t>
        </is>
      </c>
      <c r="L9" s="74" t="inlineStr">
        <is>
          <t>HIGH</t>
        </is>
      </c>
      <c r="M9" s="58" t="inlineStr">
        <is>
          <t>KIMA</t>
        </is>
      </c>
      <c r="N9" s="103" t="n">
        <v>46272</v>
      </c>
      <c r="O9" s="53" t="inlineStr">
        <is>
          <t>Window OS</t>
        </is>
      </c>
      <c r="P9" s="76" t="inlineStr">
        <is>
          <t>Chromium</t>
        </is>
      </c>
      <c r="Q9" s="70" t="n"/>
      <c r="R9" s="70" t="n"/>
      <c r="S9" s="77" t="inlineStr">
        <is>
          <t>Run</t>
        </is>
      </c>
    </row>
    <row r="10" ht="15.75" customHeight="1" s="51">
      <c r="A10" s="67" t="inlineStr">
        <is>
          <t>TC_002</t>
        </is>
      </c>
      <c r="B10" s="79" t="inlineStr">
        <is>
          <t>Notification</t>
        </is>
      </c>
      <c r="C10" s="72" t="inlineStr">
        <is>
          <t>The notifications are kept in three tabs</t>
        </is>
      </c>
      <c r="D10" s="70" t="inlineStr">
        <is>
          <t>Positive</t>
        </is>
      </c>
      <c r="E10" s="71" t="inlineStr">
        <is>
          <t>User is on the Notification page</t>
        </is>
      </c>
      <c r="F10" s="72" t="inlineStr">
        <is>
          <t>-Given I log into the UMPay application with valid email credentials using "&lt;row&gt;" of "&lt;excelSheetName&gt;" of "&lt;excelFileName&gt;"
-When I open the Notifications page
-Then the notifications should offer the tabs "Transactions, Announcements, Messages"</t>
        </is>
      </c>
      <c r="G10" s="72" t="inlineStr">
        <is>
          <t>Valid UMPay user</t>
        </is>
      </c>
      <c r="H10" s="73" t="inlineStr">
        <is>
          <t>The page should offer the Transactions, Announcements and Messages tabs</t>
        </is>
      </c>
      <c r="I10" s="73" t="inlineStr">
        <is>
          <t>User is on the Notification page</t>
        </is>
      </c>
      <c r="J10" s="73" t="inlineStr">
        <is>
          <t>Transactions, Announcements and Messages were all offered</t>
        </is>
      </c>
      <c r="K10" s="74" t="inlineStr">
        <is>
          <t>PASS</t>
        </is>
      </c>
      <c r="L10" s="74" t="inlineStr">
        <is>
          <t>HIGH</t>
        </is>
      </c>
      <c r="M10" s="58" t="inlineStr">
        <is>
          <t>KIMA</t>
        </is>
      </c>
      <c r="N10" s="103" t="n">
        <v>46272</v>
      </c>
      <c r="O10" s="53" t="inlineStr">
        <is>
          <t>Window OS</t>
        </is>
      </c>
      <c r="P10" s="76" t="inlineStr">
        <is>
          <t>Chromium</t>
        </is>
      </c>
      <c r="Q10" s="70" t="n"/>
      <c r="R10" s="70" t="n"/>
      <c r="S10" s="77" t="inlineStr">
        <is>
          <t>Run</t>
        </is>
      </c>
    </row>
    <row r="11" ht="15.75" customHeight="1" s="51">
      <c r="A11" s="67" t="inlineStr">
        <is>
          <t>TC_003</t>
        </is>
      </c>
      <c r="B11" s="79" t="inlineStr">
        <is>
          <t>Notification Transactions</t>
        </is>
      </c>
      <c r="C11" s="72" t="inlineStr">
        <is>
          <t>Every transaction notification names its kind, amount, currency and date</t>
        </is>
      </c>
      <c r="D11" s="70" t="inlineStr">
        <is>
          <t>Positive</t>
        </is>
      </c>
      <c r="E11" s="71" t="inlineStr">
        <is>
          <t>User is on the Notification page</t>
        </is>
      </c>
      <c r="F11" s="72" t="inlineStr">
        <is>
          <t>-Given I log into the UMPay application with valid email credentials using "&lt;row&gt;" of "&lt;excelSheetName&gt;" of "&lt;excelFileName&gt;"
-When I open the Notifications page
-Then each notification should name its kind, amount, currency and when it happened</t>
        </is>
      </c>
      <c r="G11" s="72" t="inlineStr">
        <is>
          <t>Valid UMPay user</t>
        </is>
      </c>
      <c r="H11" s="73" t="inlineStr">
        <is>
          <t>Every card should name the kind of transaction, the amount, the currency and when it happened</t>
        </is>
      </c>
      <c r="I11" s="73" t="inlineStr">
        <is>
          <t>User is on the Notification page</t>
        </is>
      </c>
      <c r="J11" s="73" t="inlineStr">
        <is>
          <t>Every card named its kind, amount, currency and created date</t>
        </is>
      </c>
      <c r="K11" s="74" t="inlineStr">
        <is>
          <t>PASS</t>
        </is>
      </c>
      <c r="L11" s="74" t="inlineStr">
        <is>
          <t>HIGH</t>
        </is>
      </c>
      <c r="M11" s="58" t="inlineStr">
        <is>
          <t>KIMA</t>
        </is>
      </c>
      <c r="N11" s="103" t="n">
        <v>46272</v>
      </c>
      <c r="O11" s="53" t="inlineStr">
        <is>
          <t>Window OS</t>
        </is>
      </c>
      <c r="P11" s="76" t="inlineStr">
        <is>
          <t>Chromium</t>
        </is>
      </c>
      <c r="Q11" s="70" t="n"/>
      <c r="R11" s="70" t="n"/>
      <c r="S11" s="77" t="inlineStr">
        <is>
          <t>Run</t>
        </is>
      </c>
    </row>
    <row r="12" ht="15.75" customHeight="1" s="51">
      <c r="A12" s="67" t="inlineStr">
        <is>
          <t>TC_004</t>
        </is>
      </c>
      <c r="B12" s="79" t="inlineStr">
        <is>
          <t>Notification Transactions</t>
        </is>
      </c>
      <c r="C12" s="72" t="inlineStr">
        <is>
          <t>The transaction notifications are listed newest first</t>
        </is>
      </c>
      <c r="D12" s="70" t="inlineStr">
        <is>
          <t>Positive</t>
        </is>
      </c>
      <c r="E12" s="71" t="inlineStr">
        <is>
          <t>User is on the Notification page</t>
        </is>
      </c>
      <c r="F12" s="72" t="inlineStr">
        <is>
          <t>-Given I log into the UMPay application with valid email credentials using "&lt;row&gt;" of "&lt;excelSheetName&gt;" of "&lt;excelFileName&gt;"
-When I open the Notifications page
-Then the notifications should be listed newest first</t>
        </is>
      </c>
      <c r="G12" s="72" t="inlineStr">
        <is>
          <t>Valid UMPay user</t>
        </is>
      </c>
      <c r="H12" s="73" t="inlineStr">
        <is>
          <t>The newest notification should be at the top and the oldest at the bottom</t>
        </is>
      </c>
      <c r="I12" s="73" t="inlineStr">
        <is>
          <t>User is on the Notification page</t>
        </is>
      </c>
      <c r="J12" s="73" t="inlineStr">
        <is>
          <t>The notifications were listed newest first</t>
        </is>
      </c>
      <c r="K12" s="74" t="inlineStr">
        <is>
          <t>PASS</t>
        </is>
      </c>
      <c r="L12" s="74" t="inlineStr">
        <is>
          <t>HIGH</t>
        </is>
      </c>
      <c r="M12" s="58" t="inlineStr">
        <is>
          <t>KIMA</t>
        </is>
      </c>
      <c r="N12" s="103" t="n">
        <v>46272</v>
      </c>
      <c r="O12" s="53" t="inlineStr">
        <is>
          <t>Window OS</t>
        </is>
      </c>
      <c r="P12" s="76" t="inlineStr">
        <is>
          <t>Chromium</t>
        </is>
      </c>
      <c r="Q12" s="70" t="n"/>
      <c r="R12" s="70" t="n"/>
      <c r="S12" s="77" t="inlineStr">
        <is>
          <t>Run</t>
        </is>
      </c>
    </row>
    <row r="13" ht="15.75" customHeight="1" s="51">
      <c r="A13" s="67" t="inlineStr">
        <is>
          <t>TC_005</t>
        </is>
      </c>
      <c r="B13" s="79" t="inlineStr">
        <is>
          <t>Notification Transactions</t>
        </is>
      </c>
      <c r="C13" s="72" t="inlineStr">
        <is>
          <t>Each amount is written with the symbol its currency uses</t>
        </is>
      </c>
      <c r="D13" s="70" t="inlineStr">
        <is>
          <t>Positive</t>
        </is>
      </c>
      <c r="E13" s="71" t="inlineStr">
        <is>
          <t>User is on the Notification page</t>
        </is>
      </c>
      <c r="F13" s="72" t="inlineStr">
        <is>
          <t>-Given I log into the UMPay application with valid email credentials using "&lt;row&gt;" of "&lt;excelSheetName&gt;" of "&lt;excelFileName&gt;"
-When I open the Notifications page
-Then each amount should be written with the symbol its currency uses</t>
        </is>
      </c>
      <c r="G13" s="72" t="inlineStr">
        <is>
          <t>Valid UMPay user</t>
        </is>
      </c>
      <c r="H13" s="73" t="inlineStr">
        <is>
          <t>Each amount should be a figure carrying its wallet symbol, and a wallet should be written the same way on every card</t>
        </is>
      </c>
      <c r="I13" s="73" t="inlineStr">
        <is>
          <t>User is on the Notification page</t>
        </is>
      </c>
      <c r="J13" s="73" t="inlineStr">
        <is>
          <t>Each amount carried its wallet symbol, the same one throughout</t>
        </is>
      </c>
      <c r="K13" s="74" t="inlineStr">
        <is>
          <t>PASS</t>
        </is>
      </c>
      <c r="L13" s="74" t="inlineStr">
        <is>
          <t>MEDIUM</t>
        </is>
      </c>
      <c r="M13" s="58" t="inlineStr">
        <is>
          <t>KIMA</t>
        </is>
      </c>
      <c r="N13" s="103" t="n">
        <v>46272</v>
      </c>
      <c r="O13" s="53" t="inlineStr">
        <is>
          <t>Window OS</t>
        </is>
      </c>
      <c r="P13" s="76" t="inlineStr">
        <is>
          <t>Chromium</t>
        </is>
      </c>
      <c r="Q13" s="70" t="n"/>
      <c r="R13" s="70" t="n"/>
      <c r="S13" s="77" t="inlineStr">
        <is>
          <t>Run</t>
        </is>
      </c>
    </row>
    <row r="14" ht="15.75" customHeight="1" s="51">
      <c r="A14" s="67" t="inlineStr">
        <is>
          <t>TC_006</t>
        </is>
      </c>
      <c r="B14" s="79" t="inlineStr">
        <is>
          <t>Notification Transactions</t>
        </is>
      </c>
      <c r="C14" s="72" t="inlineStr">
        <is>
          <t>Reaching the end of the list brings in older notifications</t>
        </is>
      </c>
      <c r="D14" s="70" t="inlineStr">
        <is>
          <t>Positive</t>
        </is>
      </c>
      <c r="E14" s="71" t="inlineStr">
        <is>
          <t>User is on the Notification page</t>
        </is>
      </c>
      <c r="F14" s="72" t="inlineStr">
        <is>
          <t>-Given I log into the UMPay application with valid email credentials using "&lt;row&gt;" of "&lt;excelSheetName&gt;" of "&lt;excelFileName&gt;"
-When I open the Notifications page
-And I scroll to the end of the notifications
-Then more notifications should have been brought in</t>
        </is>
      </c>
      <c r="G14" s="72" t="inlineStr">
        <is>
          <t>Valid UMPay user</t>
        </is>
      </c>
      <c r="H14" s="73" t="inlineStr">
        <is>
          <t>Scrolling to the bottom should bring in the next of the notifications</t>
        </is>
      </c>
      <c r="I14" s="73" t="inlineStr">
        <is>
          <t>User is on the Notification page</t>
        </is>
      </c>
      <c r="J14" s="73" t="inlineStr">
        <is>
          <t>Reaching the end took the list from 20 notifications to 60</t>
        </is>
      </c>
      <c r="K14" s="74" t="inlineStr">
        <is>
          <t>PASS</t>
        </is>
      </c>
      <c r="L14" s="74" t="inlineStr">
        <is>
          <t>HIGH</t>
        </is>
      </c>
      <c r="M14" s="58" t="inlineStr">
        <is>
          <t>KIMA</t>
        </is>
      </c>
      <c r="N14" s="103" t="n">
        <v>46272</v>
      </c>
      <c r="O14" s="53" t="inlineStr">
        <is>
          <t>Window OS</t>
        </is>
      </c>
      <c r="P14" s="76" t="inlineStr">
        <is>
          <t>Chromium</t>
        </is>
      </c>
      <c r="Q14" s="70" t="n"/>
      <c r="R14" s="70" t="n"/>
      <c r="S14" s="77" t="inlineStr">
        <is>
          <t>Run</t>
        </is>
      </c>
    </row>
    <row r="15" ht="15.75" customHeight="1" s="51">
      <c r="A15" s="67" t="inlineStr">
        <is>
          <t>TC_007</t>
        </is>
      </c>
      <c r="B15" s="79" t="inlineStr">
        <is>
          <t>Notification Announcements</t>
        </is>
      </c>
      <c r="C15" s="72" t="inlineStr">
        <is>
          <t>The Announcements tab shows what the platform has announced</t>
        </is>
      </c>
      <c r="D15" s="70" t="inlineStr">
        <is>
          <t>Positive</t>
        </is>
      </c>
      <c r="E15" s="71" t="inlineStr">
        <is>
          <t>User is on the Notification page</t>
        </is>
      </c>
      <c r="F15" s="72" t="inlineStr">
        <is>
          <t>-Given I log into the UMPay application with valid email credentials using "&lt;row&gt;" of "&lt;excelSheetName&gt;" of "&lt;excelFileName&gt;"
-When I open the Notifications page
-And I move to the tab named in "&lt;row&gt;" of "&lt;excelSheetName&gt;" of "&lt;excelFileName&gt;"
-Then every announcement should carry a message and when it arrived</t>
        </is>
      </c>
      <c r="G15" s="72" t="inlineStr">
        <is>
          <t>Tab: Announcements</t>
        </is>
      </c>
      <c r="H15" s="73" t="inlineStr">
        <is>
          <t>Every announcement should carry its own message and when it arrived</t>
        </is>
      </c>
      <c r="I15" s="73" t="inlineStr">
        <is>
          <t>User is on the Notification page</t>
        </is>
      </c>
      <c r="J15" s="73" t="inlineStr">
        <is>
          <t>All 20 announcements carried a message and when they arrived</t>
        </is>
      </c>
      <c r="K15" s="74" t="inlineStr">
        <is>
          <t>PASS</t>
        </is>
      </c>
      <c r="L15" s="74" t="inlineStr">
        <is>
          <t>HIGH</t>
        </is>
      </c>
      <c r="M15" s="58" t="inlineStr">
        <is>
          <t>KIMA</t>
        </is>
      </c>
      <c r="N15" s="103" t="n">
        <v>46272</v>
      </c>
      <c r="O15" s="53" t="inlineStr">
        <is>
          <t>Window OS</t>
        </is>
      </c>
      <c r="P15" s="76" t="inlineStr">
        <is>
          <t>Chromium</t>
        </is>
      </c>
      <c r="Q15" s="70" t="n"/>
      <c r="R15" s="70" t="n"/>
      <c r="S15" s="77" t="inlineStr">
        <is>
          <t>Run</t>
        </is>
      </c>
    </row>
    <row r="16" ht="15.75" customHeight="1" s="51">
      <c r="A16" s="67" t="inlineStr">
        <is>
          <t>TC_008</t>
        </is>
      </c>
      <c r="B16" s="79" t="inlineStr">
        <is>
          <t>Notification Messages</t>
        </is>
      </c>
      <c r="C16" s="72" t="inlineStr">
        <is>
          <t>The Messages tab shows the conversation with customer service</t>
        </is>
      </c>
      <c r="D16" s="70" t="inlineStr">
        <is>
          <t>Positive</t>
        </is>
      </c>
      <c r="E16" s="71" t="inlineStr">
        <is>
          <t>User is on the Notification page</t>
        </is>
      </c>
      <c r="F16" s="72" t="inlineStr">
        <is>
          <t>-Given I log into the UMPay application with valid email credentials using "&lt;row&gt;" of "&lt;excelSheetName&gt;" of "&lt;excelFileName&gt;"
-When I open the Notifications page
-And I move to the tab named in "&lt;row&gt;" of "&lt;excelSheetName&gt;" of "&lt;excelFileName&gt;"
-Then the conversation with customer service should be shown</t>
        </is>
      </c>
      <c r="G16" s="72" t="inlineStr">
        <is>
          <t>Tab: Messages</t>
        </is>
      </c>
      <c r="H16" s="73" t="inlineStr">
        <is>
          <t>The conversation with customer service should be shown</t>
        </is>
      </c>
      <c r="I16" s="73" t="inlineStr">
        <is>
          <t>User is on the Notification page</t>
        </is>
      </c>
      <c r="J16" s="73" t="inlineStr">
        <is>
          <t>The conversation with customer service was shown</t>
        </is>
      </c>
      <c r="K16" s="74" t="inlineStr">
        <is>
          <t>PASS</t>
        </is>
      </c>
      <c r="L16" s="74" t="inlineStr">
        <is>
          <t>MEDIUM</t>
        </is>
      </c>
      <c r="M16" s="58" t="inlineStr">
        <is>
          <t>KIMA</t>
        </is>
      </c>
      <c r="N16" s="103" t="n">
        <v>46272</v>
      </c>
      <c r="O16" s="53" t="inlineStr">
        <is>
          <t>Window OS</t>
        </is>
      </c>
      <c r="P16" s="76" t="inlineStr">
        <is>
          <t>Chromium</t>
        </is>
      </c>
      <c r="Q16" s="70" t="n"/>
      <c r="R16" s="70" t="n"/>
      <c r="S16" s="77" t="inlineStr">
        <is>
          <t>Run</t>
        </is>
      </c>
    </row>
    <row r="17" ht="15.75" customHeight="1" s="51">
      <c r="A17" s="67" t="inlineStr">
        <is>
          <t>TC_009</t>
        </is>
      </c>
      <c r="B17" s="79" t="inlineStr">
        <is>
          <t>Notification Tabs</t>
        </is>
      </c>
      <c r="C17" s="72" t="inlineStr">
        <is>
          <t>Moving to another tab changes what is listed</t>
        </is>
      </c>
      <c r="D17" s="70" t="inlineStr">
        <is>
          <t>Positive</t>
        </is>
      </c>
      <c r="E17" s="71" t="inlineStr">
        <is>
          <t>User is on the Notification page</t>
        </is>
      </c>
      <c r="F17" s="72" t="inlineStr">
        <is>
          <t>-Given I log into the UMPay application with valid email credentials using "&lt;row&gt;" of "&lt;excelSheetName&gt;" of "&lt;excelFileName&gt;"
-When I open the Notifications page
-And I move to the tab named in "&lt;row&gt;" of "&lt;excelSheetName&gt;" of "&lt;excelFileName&gt;"
-Then what is listed should change</t>
        </is>
      </c>
      <c r="G17" s="72" t="inlineStr">
        <is>
          <t>Tab: Announcements</t>
        </is>
      </c>
      <c r="H17" s="73" t="inlineStr">
        <is>
          <t>Choosing another tab should change what is listed rather than only highlighting the tab</t>
        </is>
      </c>
      <c r="I17" s="73" t="inlineStr">
        <is>
          <t>User is on the Notification page</t>
        </is>
      </c>
      <c r="J17" s="73" t="inlineStr">
        <is>
          <t>Choosing another tab changed what was listed</t>
        </is>
      </c>
      <c r="K17" s="74" t="inlineStr">
        <is>
          <t>PASS</t>
        </is>
      </c>
      <c r="L17" s="74" t="inlineStr">
        <is>
          <t>HIGH</t>
        </is>
      </c>
      <c r="M17" s="58" t="inlineStr">
        <is>
          <t>KIMA</t>
        </is>
      </c>
      <c r="N17" s="103" t="n">
        <v>46272</v>
      </c>
      <c r="O17" s="53" t="inlineStr">
        <is>
          <t>Window OS</t>
        </is>
      </c>
      <c r="P17" s="76" t="inlineStr">
        <is>
          <t>Chromium</t>
        </is>
      </c>
      <c r="Q17" s="70" t="n"/>
      <c r="R17" s="70" t="n"/>
      <c r="S17" s="77" t="inlineStr">
        <is>
          <t>Run</t>
        </is>
      </c>
    </row>
    <row r="18" ht="15.75" customHeight="1" s="51">
      <c r="A18" s="67" t="inlineStr">
        <is>
          <t>TC_010</t>
        </is>
      </c>
      <c r="B18" s="79" t="inlineStr">
        <is>
          <t>Notification Read State</t>
        </is>
      </c>
      <c r="C18" s="72" t="inlineStr">
        <is>
          <t>The unread count agrees with what the list marks unread</t>
        </is>
      </c>
      <c r="D18" s="70" t="inlineStr">
        <is>
          <t>Positive</t>
        </is>
      </c>
      <c r="E18" s="71" t="inlineStr">
        <is>
          <t>User is on the Notification page</t>
        </is>
      </c>
      <c r="F18" s="72" t="inlineStr">
        <is>
          <t>-Given I log into the UMPay application with valid email credentials using "&lt;row&gt;" of "&lt;excelSheetName&gt;" of "&lt;excelFileName&gt;"
-When I open the Notifications page
-And I look through the notifications
-Then the unread count should agree with the marks in the list</t>
        </is>
      </c>
      <c r="G18" s="72" t="inlineStr">
        <is>
          <t>Valid UMPay user</t>
        </is>
      </c>
      <c r="H18" s="73" t="inlineStr">
        <is>
          <t>The list should never mark more notifications unread than the bell says are waiting, and nothing should be marked when the bell says nothing is unread</t>
        </is>
      </c>
      <c r="I18" s="73" t="inlineStr">
        <is>
          <t>The notifications seen are marked read</t>
        </is>
      </c>
      <c r="J18" s="73" t="inlineStr">
        <is>
          <t>The list marked 116 unread against a bell of 412, which agree</t>
        </is>
      </c>
      <c r="K18" s="74" t="inlineStr">
        <is>
          <t>PASS</t>
        </is>
      </c>
      <c r="L18" s="74" t="inlineStr">
        <is>
          <t>HIGH</t>
        </is>
      </c>
      <c r="M18" s="58" t="inlineStr">
        <is>
          <t>KIMA</t>
        </is>
      </c>
      <c r="N18" s="103" t="n">
        <v>46272</v>
      </c>
      <c r="O18" s="53" t="inlineStr">
        <is>
          <t>Window OS</t>
        </is>
      </c>
      <c r="P18" s="76" t="inlineStr">
        <is>
          <t>Chromium</t>
        </is>
      </c>
      <c r="Q18" s="70" t="n"/>
      <c r="R18" s="70" t="n"/>
      <c r="S18" s="77" t="inlineStr">
        <is>
          <t>Run</t>
        </is>
      </c>
    </row>
    <row r="19" ht="15.75" customHeight="1" s="51">
      <c r="A19" s="67" t="inlineStr">
        <is>
          <t>TC_011</t>
        </is>
      </c>
      <c r="B19" s="79" t="inlineStr">
        <is>
          <t>Notification Read State</t>
        </is>
      </c>
      <c r="C19" s="72" t="inlineStr">
        <is>
          <t>What has been read is not forgotten when the page is loaded again</t>
        </is>
      </c>
      <c r="D19" s="70" t="inlineStr">
        <is>
          <t>Positive</t>
        </is>
      </c>
      <c r="E19" s="71" t="inlineStr">
        <is>
          <t>The notifications have been looked through</t>
        </is>
      </c>
      <c r="F19" s="72" t="inlineStr">
        <is>
          <t>-Given I log into the UMPay application with valid email credentials using "&lt;row&gt;" of "&lt;excelSheetName&gt;" of "&lt;excelFileName&gt;"
-When I open the Notifications page
-And I look through the notifications
-Then looking should not have added to the unread count
-When I reload the notifications
-Then what has been seen should still be marked read</t>
        </is>
      </c>
      <c r="G19" s="72" t="inlineStr">
        <is>
          <t>Valid UMPay user</t>
        </is>
      </c>
      <c r="H19" s="73" t="inlineStr">
        <is>
          <t>Looking should never add to the unread count, and the count should not climb back after the page is loaded again</t>
        </is>
      </c>
      <c r="I19" s="73" t="inlineStr">
        <is>
          <t>The notifications seen are marked read</t>
        </is>
      </c>
      <c r="J19" s="73" t="inlineStr">
        <is>
          <t>The count did not climb after looking, nor after a reload</t>
        </is>
      </c>
      <c r="K19" s="74" t="inlineStr">
        <is>
          <t>PASS</t>
        </is>
      </c>
      <c r="L19" s="74" t="inlineStr">
        <is>
          <t>HIGH</t>
        </is>
      </c>
      <c r="M19" s="58" t="inlineStr">
        <is>
          <t>KIMA</t>
        </is>
      </c>
      <c r="N19" s="103" t="n">
        <v>46272</v>
      </c>
      <c r="O19" s="53" t="inlineStr">
        <is>
          <t>Window OS</t>
        </is>
      </c>
      <c r="P19" s="76" t="inlineStr">
        <is>
          <t>Chromium</t>
        </is>
      </c>
      <c r="Q19" s="70" t="n"/>
      <c r="R19" s="70" t="n"/>
      <c r="S19" s="77" t="inlineStr">
        <is>
          <t>Run</t>
        </is>
      </c>
    </row>
  </sheetData>
  <dataValidations count="7">
    <dataValidation sqref="K9:K19" showDropDown="0" showInputMessage="0" showErrorMessage="0" allowBlank="1" type="list">
      <formula1>"PASS,FAIL,PENDING"</formula1>
    </dataValidation>
    <dataValidation sqref="P9:P19" showDropDown="0" showInputMessage="0" showErrorMessage="0" allowBlank="1" type="list">
      <formula1>METADATA!$H$2:$H$8</formula1>
    </dataValidation>
    <dataValidation sqref="O9:O19" showDropDown="0" showInputMessage="0" showErrorMessage="0" allowBlank="1" type="list">
      <formula1>METADATA!$J$2:$J$7</formula1>
    </dataValidation>
    <dataValidation sqref="D9:D19" showDropDown="0" showInputMessage="0" showErrorMessage="0" allowBlank="1" type="list">
      <formula1>METADATA!$N$2:$N$3</formula1>
    </dataValidation>
    <dataValidation sqref="B4 M9:M19" showDropDown="0" showInputMessage="0" showErrorMessage="0" allowBlank="1" type="list">
      <formula1>METADATA!$F$2:$F$4</formula1>
    </dataValidation>
    <dataValidation sqref="L9:L19"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T19"/>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Trade Record</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46272</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46272</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Trade Record</t>
        </is>
      </c>
      <c r="C9" s="72" t="inlineStr">
        <is>
          <t>The profile drawer opens the account's trade record</t>
        </is>
      </c>
      <c r="D9" s="70" t="inlineStr">
        <is>
          <t>Positive</t>
        </is>
      </c>
      <c r="E9" s="71" t="inlineStr">
        <is>
          <t>User is signed in</t>
        </is>
      </c>
      <c r="F9" s="72" t="inlineStr">
        <is>
          <t>-Given I log into the UMPay application with valid email credentials using "&lt;row&gt;" of "&lt;excelSheetName&gt;" of "&lt;excelFileName&gt;"
-When I open the Trade Record page
-Then the trade record should list the orders the account has raised</t>
        </is>
      </c>
      <c r="G9" s="72" t="inlineStr">
        <is>
          <t>Valid UMPay user</t>
        </is>
      </c>
      <c r="H9" s="73" t="inlineStr">
        <is>
          <t>The trade record should open from the profile drawer, listing the orders the account has raised</t>
        </is>
      </c>
      <c r="I9" s="73" t="inlineStr">
        <is>
          <t>User is on the Trade Record page</t>
        </is>
      </c>
      <c r="J9" s="73" t="inlineStr">
        <is>
          <t>The drawer opened /v2/trade-record and listed 20 orders</t>
        </is>
      </c>
      <c r="K9" s="74" t="inlineStr">
        <is>
          <t>PASS</t>
        </is>
      </c>
      <c r="L9" s="74" t="inlineStr">
        <is>
          <t>HIGH</t>
        </is>
      </c>
      <c r="M9" s="58" t="inlineStr">
        <is>
          <t>KIMA</t>
        </is>
      </c>
      <c r="N9" s="103" t="n">
        <v>46272</v>
      </c>
      <c r="O9" s="53" t="inlineStr">
        <is>
          <t>Window OS</t>
        </is>
      </c>
      <c r="P9" s="76" t="inlineStr">
        <is>
          <t>Chromium</t>
        </is>
      </c>
      <c r="Q9" s="70" t="n"/>
      <c r="R9" s="70" t="n"/>
      <c r="S9" s="77" t="inlineStr">
        <is>
          <t>Run</t>
        </is>
      </c>
    </row>
    <row r="10" ht="15.75" customHeight="1" s="51">
      <c r="A10" s="67" t="inlineStr">
        <is>
          <t>TC_002</t>
        </is>
      </c>
      <c r="B10" s="79" t="inlineStr">
        <is>
          <t>Trade Record</t>
        </is>
      </c>
      <c r="C10" s="72" t="inlineStr">
        <is>
          <t>The trade record is kept in three tabs</t>
        </is>
      </c>
      <c r="D10" s="70" t="inlineStr">
        <is>
          <t>Positive</t>
        </is>
      </c>
      <c r="E10" s="71" t="inlineStr">
        <is>
          <t>User is on the Trade Record page</t>
        </is>
      </c>
      <c r="F10" s="72" t="inlineStr">
        <is>
          <t>-Given I log into the UMPay application with valid email credentials using "&lt;row&gt;" of "&lt;excelSheetName&gt;" of "&lt;excelFileName&gt;"
-When I open the Trade Record page
-Then the trade record should offer the tabs "Deposit/Withdraw, International Transfer, International School Fee"</t>
        </is>
      </c>
      <c r="G10" s="72" t="inlineStr">
        <is>
          <t>Valid UMPay user</t>
        </is>
      </c>
      <c r="H10" s="73" t="inlineStr">
        <is>
          <t>The page should offer the Deposit/Withdraw, International Transfer and International School Fee tabs</t>
        </is>
      </c>
      <c r="I10" s="73" t="inlineStr">
        <is>
          <t>User is on the Trade Record page</t>
        </is>
      </c>
      <c r="J10" s="73" t="inlineStr">
        <is>
          <t>Deposit/Withdraw, International Transfer and International School Fee were all offered</t>
        </is>
      </c>
      <c r="K10" s="74" t="inlineStr">
        <is>
          <t>PASS</t>
        </is>
      </c>
      <c r="L10" s="74" t="inlineStr">
        <is>
          <t>HIGH</t>
        </is>
      </c>
      <c r="M10" s="58" t="inlineStr">
        <is>
          <t>KIMA</t>
        </is>
      </c>
      <c r="N10" s="103" t="n">
        <v>46272</v>
      </c>
      <c r="O10" s="53" t="inlineStr">
        <is>
          <t>Window OS</t>
        </is>
      </c>
      <c r="P10" s="76" t="inlineStr">
        <is>
          <t>Chromium</t>
        </is>
      </c>
      <c r="Q10" s="70" t="n"/>
      <c r="R10" s="70" t="n"/>
      <c r="S10" s="77" t="inlineStr">
        <is>
          <t>Run</t>
        </is>
      </c>
    </row>
    <row r="11" ht="15.75" customHeight="1" s="51">
      <c r="A11" s="67" t="inlineStr">
        <is>
          <t>TC_003</t>
        </is>
      </c>
      <c r="B11" s="79" t="inlineStr">
        <is>
          <t>Trade Record Deposit/Withdraw</t>
        </is>
      </c>
      <c r="C11" s="72" t="inlineStr">
        <is>
          <t>Every order names its number, currency, amount and how it ended</t>
        </is>
      </c>
      <c r="D11" s="70" t="inlineStr">
        <is>
          <t>Positive</t>
        </is>
      </c>
      <c r="E11" s="71" t="inlineStr">
        <is>
          <t>User is on the Trade Record page</t>
        </is>
      </c>
      <c r="F11" s="72" t="inlineStr">
        <is>
          <t>-Given I log into the UMPay application with valid email credentials using "&lt;row&gt;" of "&lt;excelSheetName&gt;" of "&lt;excelFileName&gt;"
-When I open the Trade Record page
-Then every order should name its number, currency, amount and how it ended</t>
        </is>
      </c>
      <c r="G11" s="72" t="inlineStr">
        <is>
          <t>Valid UMPay user</t>
        </is>
      </c>
      <c r="H11" s="73" t="inlineStr">
        <is>
          <t>Every order should name its number, its currency, its amount and the status it ended in</t>
        </is>
      </c>
      <c r="I11" s="73" t="inlineStr">
        <is>
          <t>User is on the Trade Record page</t>
        </is>
      </c>
      <c r="J11" s="73" t="inlineStr">
        <is>
          <t>All 20 orders named their number, currency, amount and status</t>
        </is>
      </c>
      <c r="K11" s="74" t="inlineStr">
        <is>
          <t>PASS</t>
        </is>
      </c>
      <c r="L11" s="74" t="inlineStr">
        <is>
          <t>HIGH</t>
        </is>
      </c>
      <c r="M11" s="58" t="inlineStr">
        <is>
          <t>KIMA</t>
        </is>
      </c>
      <c r="N11" s="103" t="n">
        <v>46272</v>
      </c>
      <c r="O11" s="53" t="inlineStr">
        <is>
          <t>Window OS</t>
        </is>
      </c>
      <c r="P11" s="76" t="inlineStr">
        <is>
          <t>Chromium</t>
        </is>
      </c>
      <c r="Q11" s="70" t="n"/>
      <c r="R11" s="70" t="n"/>
      <c r="S11" s="77" t="inlineStr">
        <is>
          <t>Run</t>
        </is>
      </c>
    </row>
    <row r="12" ht="15.75" customHeight="1" s="51">
      <c r="A12" s="67" t="inlineStr">
        <is>
          <t>TC_004</t>
        </is>
      </c>
      <c r="B12" s="79" t="inlineStr">
        <is>
          <t>Trade Record Deposit/Withdraw</t>
        </is>
      </c>
      <c r="C12" s="72" t="inlineStr">
        <is>
          <t>No two orders share a number</t>
        </is>
      </c>
      <c r="D12" s="70" t="inlineStr">
        <is>
          <t>Positive</t>
        </is>
      </c>
      <c r="E12" s="71" t="inlineStr">
        <is>
          <t>User is on the Trade Record page</t>
        </is>
      </c>
      <c r="F12" s="72" t="inlineStr">
        <is>
          <t>-Given I log into the UMPay application with valid email credentials using "&lt;row&gt;" of "&lt;excelSheetName&gt;" of "&lt;excelFileName&gt;"
-When I open the Trade Record page
-Then no two orders should share a number</t>
        </is>
      </c>
      <c r="G12" s="72" t="inlineStr">
        <is>
          <t>Valid UMPay user</t>
        </is>
      </c>
      <c r="H12" s="73" t="inlineStr">
        <is>
          <t>No order number should appear more than once in the list</t>
        </is>
      </c>
      <c r="I12" s="73" t="inlineStr">
        <is>
          <t>User is on the Trade Record page</t>
        </is>
      </c>
      <c r="J12" s="73" t="inlineStr">
        <is>
          <t>All 20 orders carried a number of their own</t>
        </is>
      </c>
      <c r="K12" s="74" t="inlineStr">
        <is>
          <t>PASS</t>
        </is>
      </c>
      <c r="L12" s="74" t="inlineStr">
        <is>
          <t>HIGH</t>
        </is>
      </c>
      <c r="M12" s="58" t="inlineStr">
        <is>
          <t>KIMA</t>
        </is>
      </c>
      <c r="N12" s="103" t="n">
        <v>46272</v>
      </c>
      <c r="O12" s="53" t="inlineStr">
        <is>
          <t>Window OS</t>
        </is>
      </c>
      <c r="P12" s="76" t="inlineStr">
        <is>
          <t>Chromium</t>
        </is>
      </c>
      <c r="Q12" s="70" t="n"/>
      <c r="R12" s="70" t="n"/>
      <c r="S12" s="77" t="inlineStr">
        <is>
          <t>Run</t>
        </is>
      </c>
    </row>
    <row r="13" ht="15.75" customHeight="1" s="51">
      <c r="A13" s="67" t="inlineStr">
        <is>
          <t>TC_005</t>
        </is>
      </c>
      <c r="B13" s="79" t="inlineStr">
        <is>
          <t>Trade Record Deposit/Withdraw</t>
        </is>
      </c>
      <c r="C13" s="72" t="inlineStr">
        <is>
          <t>A converted order shows both what was received and the rate</t>
        </is>
      </c>
      <c r="D13" s="70" t="inlineStr">
        <is>
          <t>Positive</t>
        </is>
      </c>
      <c r="E13" s="71" t="inlineStr">
        <is>
          <t>User is on the Trade Record page</t>
        </is>
      </c>
      <c r="F13" s="72" t="inlineStr">
        <is>
          <t>-Given I log into the UMPay application with valid email credentials using "&lt;row&gt;" of "&lt;excelSheetName&gt;" of "&lt;excelFileName&gt;"
-When I open the Trade Record page
-Then any converted order should show both what was received and the rate</t>
        </is>
      </c>
      <c r="G13" s="72" t="inlineStr">
        <is>
          <t>Valid UMPay user</t>
        </is>
      </c>
      <c r="H13" s="73" t="inlineStr">
        <is>
          <t>An order that was converted should show both the amount received and the exchange rate, never one without the other</t>
        </is>
      </c>
      <c r="I13" s="73" t="inlineStr">
        <is>
          <t>User is on the Trade Record page</t>
        </is>
      </c>
      <c r="J13" s="73" t="inlineStr">
        <is>
          <t>6 of the 20 orders were converted, each showing both the received amount and the rate</t>
        </is>
      </c>
      <c r="K13" s="74" t="inlineStr">
        <is>
          <t>PASS</t>
        </is>
      </c>
      <c r="L13" s="74" t="inlineStr">
        <is>
          <t>MEDIUM</t>
        </is>
      </c>
      <c r="M13" s="58" t="inlineStr">
        <is>
          <t>KIMA</t>
        </is>
      </c>
      <c r="N13" s="103" t="n">
        <v>46272</v>
      </c>
      <c r="O13" s="53" t="inlineStr">
        <is>
          <t>Window OS</t>
        </is>
      </c>
      <c r="P13" s="76" t="inlineStr">
        <is>
          <t>Chromium</t>
        </is>
      </c>
      <c r="Q13" s="70" t="n"/>
      <c r="R13" s="70" t="n"/>
      <c r="S13" s="77" t="inlineStr">
        <is>
          <t>Run</t>
        </is>
      </c>
    </row>
    <row r="14" ht="15.75" customHeight="1" s="51">
      <c r="A14" s="67" t="inlineStr">
        <is>
          <t>TC_006</t>
        </is>
      </c>
      <c r="B14" s="79" t="inlineStr">
        <is>
          <t>Trade Record Deposit/Withdraw</t>
        </is>
      </c>
      <c r="C14" s="72" t="inlineStr">
        <is>
          <t>Reaching the end of the record brings in older orders</t>
        </is>
      </c>
      <c r="D14" s="70" t="inlineStr">
        <is>
          <t>Positive</t>
        </is>
      </c>
      <c r="E14" s="71" t="inlineStr">
        <is>
          <t>User is on the Trade Record page</t>
        </is>
      </c>
      <c r="F14" s="72" t="inlineStr">
        <is>
          <t>-Given I log into the UMPay application with valid email credentials using "&lt;row&gt;" of "&lt;excelSheetName&gt;" of "&lt;excelFileName&gt;"
-When I open the Trade Record page
-And I scroll to the end of the trade record
-Then more orders should have been brought in</t>
        </is>
      </c>
      <c r="G14" s="72" t="inlineStr">
        <is>
          <t>Valid UMPay user</t>
        </is>
      </c>
      <c r="H14" s="73" t="inlineStr">
        <is>
          <t>Scrolling to the bottom should bring in the next of the orders</t>
        </is>
      </c>
      <c r="I14" s="73" t="inlineStr">
        <is>
          <t>User is on the Trade Record page</t>
        </is>
      </c>
      <c r="J14" s="73" t="inlineStr">
        <is>
          <t>Reaching the end took the list from 20 orders to 60</t>
        </is>
      </c>
      <c r="K14" s="74" t="inlineStr">
        <is>
          <t>PASS</t>
        </is>
      </c>
      <c r="L14" s="74" t="inlineStr">
        <is>
          <t>HIGH</t>
        </is>
      </c>
      <c r="M14" s="58" t="inlineStr">
        <is>
          <t>KIMA</t>
        </is>
      </c>
      <c r="N14" s="103" t="n">
        <v>46272</v>
      </c>
      <c r="O14" s="53" t="inlineStr">
        <is>
          <t>Window OS</t>
        </is>
      </c>
      <c r="P14" s="76" t="inlineStr">
        <is>
          <t>Chromium</t>
        </is>
      </c>
      <c r="Q14" s="70" t="n"/>
      <c r="R14" s="70" t="n"/>
      <c r="S14" s="77" t="inlineStr">
        <is>
          <t>Run</t>
        </is>
      </c>
    </row>
    <row r="15" ht="15.75" customHeight="1" s="51">
      <c r="A15" s="67" t="inlineStr">
        <is>
          <t>TC_007</t>
        </is>
      </c>
      <c r="B15" s="79" t="inlineStr">
        <is>
          <t>Trade Record Transfers</t>
        </is>
      </c>
      <c r="C15" s="72" t="inlineStr">
        <is>
          <t>An international transfer is charged its fee plus its amount</t>
        </is>
      </c>
      <c r="D15" s="70" t="inlineStr">
        <is>
          <t>Positive</t>
        </is>
      </c>
      <c r="E15" s="71" t="inlineStr">
        <is>
          <t>User is on the Trade Record page</t>
        </is>
      </c>
      <c r="F15" s="72" t="inlineStr">
        <is>
          <t>-Given I log into the UMPay application with valid email credentials using "&lt;row&gt;" of "&lt;excelSheetName&gt;" of "&lt;excelFileName&gt;"
-When I open the Trade Record page
-And I move to the trade record tab named in "&lt;row&gt;" of "&lt;excelSheetName&gt;" of "&lt;excelFileName&gt;"
-Then every international transfer should add up to its total</t>
        </is>
      </c>
      <c r="G15" s="72" t="inlineStr">
        <is>
          <t>Tab: International Transfer</t>
        </is>
      </c>
      <c r="H15" s="73" t="inlineStr">
        <is>
          <t>The total charged should be exactly the fee plus the amount sent</t>
        </is>
      </c>
      <c r="I15" s="73" t="inlineStr">
        <is>
          <t>User is on the Trade Record page</t>
        </is>
      </c>
      <c r="J15" s="73" t="inlineStr">
        <is>
          <t>All 20 international transfers were charged exactly their fee plus their amount</t>
        </is>
      </c>
      <c r="K15" s="74" t="inlineStr">
        <is>
          <t>PASS</t>
        </is>
      </c>
      <c r="L15" s="74" t="inlineStr">
        <is>
          <t>HIGH</t>
        </is>
      </c>
      <c r="M15" s="58" t="inlineStr">
        <is>
          <t>KIMA</t>
        </is>
      </c>
      <c r="N15" s="103" t="n">
        <v>46272</v>
      </c>
      <c r="O15" s="53" t="inlineStr">
        <is>
          <t>Window OS</t>
        </is>
      </c>
      <c r="P15" s="76" t="inlineStr">
        <is>
          <t>Chromium</t>
        </is>
      </c>
      <c r="Q15" s="70" t="n"/>
      <c r="R15" s="70" t="n"/>
      <c r="S15" s="77" t="inlineStr">
        <is>
          <t>Run</t>
        </is>
      </c>
    </row>
    <row r="16" ht="15.75" customHeight="1" s="51">
      <c r="A16" s="67" t="inlineStr">
        <is>
          <t>TC_008</t>
        </is>
      </c>
      <c r="B16" s="79" t="inlineStr">
        <is>
          <t>Trade Record Transfers</t>
        </is>
      </c>
      <c r="C16" s="72" t="inlineStr">
        <is>
          <t>A school fee order names its order number, total and when it was created</t>
        </is>
      </c>
      <c r="D16" s="70" t="inlineStr">
        <is>
          <t>Positive</t>
        </is>
      </c>
      <c r="E16" s="71" t="inlineStr">
        <is>
          <t>User is on the Trade Record page</t>
        </is>
      </c>
      <c r="F16" s="72" t="inlineStr">
        <is>
          <t>-Given I log into the UMPay application with valid email credentials using "&lt;row&gt;" of "&lt;excelSheetName&gt;" of "&lt;excelFileName&gt;"
-When I open the Trade Record page
-And I move to the trade record tab named in "&lt;row&gt;" of "&lt;excelSheetName&gt;" of "&lt;excelFileName&gt;"
-Then every school fee order should name its order number, total and when it was created</t>
        </is>
      </c>
      <c r="G16" s="72" t="inlineStr">
        <is>
          <t>Tab: International School Fee</t>
        </is>
      </c>
      <c r="H16" s="73" t="inlineStr">
        <is>
          <t>Every school fee order should name its order number, its total and when it was created</t>
        </is>
      </c>
      <c r="I16" s="73" t="inlineStr">
        <is>
          <t>User is on the Trade Record page</t>
        </is>
      </c>
      <c r="J16" s="73" t="inlineStr">
        <is>
          <t>Every school fee order named its order number, total and created date</t>
        </is>
      </c>
      <c r="K16" s="74" t="inlineStr">
        <is>
          <t>PASS</t>
        </is>
      </c>
      <c r="L16" s="74" t="inlineStr">
        <is>
          <t>MEDIUM</t>
        </is>
      </c>
      <c r="M16" s="58" t="inlineStr">
        <is>
          <t>KIMA</t>
        </is>
      </c>
      <c r="N16" s="103" t="n">
        <v>46272</v>
      </c>
      <c r="O16" s="53" t="inlineStr">
        <is>
          <t>Window OS</t>
        </is>
      </c>
      <c r="P16" s="76" t="inlineStr">
        <is>
          <t>Chromium</t>
        </is>
      </c>
      <c r="Q16" s="70" t="n"/>
      <c r="R16" s="70" t="n"/>
      <c r="S16" s="77" t="inlineStr">
        <is>
          <t>Run</t>
        </is>
      </c>
    </row>
    <row r="17" ht="15.75" customHeight="1" s="51">
      <c r="A17" s="67" t="inlineStr">
        <is>
          <t>TC_009</t>
        </is>
      </c>
      <c r="B17" s="79" t="inlineStr">
        <is>
          <t>Trade Record</t>
        </is>
      </c>
      <c r="C17" s="72" t="inlineStr">
        <is>
          <t>Moving to another tab changes what the record lists</t>
        </is>
      </c>
      <c r="D17" s="70" t="inlineStr">
        <is>
          <t>Positive</t>
        </is>
      </c>
      <c r="E17" s="71" t="inlineStr">
        <is>
          <t>User is on the Trade Record page</t>
        </is>
      </c>
      <c r="F17" s="72" t="inlineStr">
        <is>
          <t>-Given I log into the UMPay application with valid email credentials using "&lt;row&gt;" of "&lt;excelSheetName&gt;" of "&lt;excelFileName&gt;"
-When I open the Trade Record page
-And I move to the trade record tab named in "&lt;row&gt;" of "&lt;excelSheetName&gt;" of "&lt;excelFileName&gt;"
-Then what the trade record lists should change</t>
        </is>
      </c>
      <c r="G17" s="72" t="inlineStr">
        <is>
          <t>Tab: International Transfer</t>
        </is>
      </c>
      <c r="H17" s="73" t="inlineStr">
        <is>
          <t>Choosing another tab should change what is listed rather than only highlighting the tab</t>
        </is>
      </c>
      <c r="I17" s="73" t="inlineStr">
        <is>
          <t>User is on the Trade Record page</t>
        </is>
      </c>
      <c r="J17" s="73" t="inlineStr">
        <is>
          <t>Choosing another tab changed what was listed</t>
        </is>
      </c>
      <c r="K17" s="74" t="inlineStr">
        <is>
          <t>PASS</t>
        </is>
      </c>
      <c r="L17" s="74" t="inlineStr">
        <is>
          <t>HIGH</t>
        </is>
      </c>
      <c r="M17" s="58" t="inlineStr">
        <is>
          <t>KIMA</t>
        </is>
      </c>
      <c r="N17" s="103" t="n">
        <v>46272</v>
      </c>
      <c r="O17" s="53" t="inlineStr">
        <is>
          <t>Window OS</t>
        </is>
      </c>
      <c r="P17" s="76" t="inlineStr">
        <is>
          <t>Chromium</t>
        </is>
      </c>
      <c r="Q17" s="70" t="n"/>
      <c r="R17" s="70" t="n"/>
      <c r="S17" s="77" t="inlineStr">
        <is>
          <t>Run</t>
        </is>
      </c>
    </row>
    <row r="18" ht="15.75" customHeight="1" s="51">
      <c r="A18" s="67" t="inlineStr">
        <is>
          <t>TC_010</t>
        </is>
      </c>
      <c r="B18" s="79" t="inlineStr">
        <is>
          <t>Trade Record Order</t>
        </is>
      </c>
      <c r="C18" s="72" t="inlineStr">
        <is>
          <t>An order in the record opens the order itself</t>
        </is>
      </c>
      <c r="D18" s="70" t="inlineStr">
        <is>
          <t>Positive</t>
        </is>
      </c>
      <c r="E18" s="71" t="inlineStr">
        <is>
          <t>User is on the Trade Record page</t>
        </is>
      </c>
      <c r="F18" s="72" t="inlineStr">
        <is>
          <t>-Given I log into the UMPay application with valid email credentials using "&lt;row&gt;" of "&lt;excelSheetName&gt;" of "&lt;excelFileName&gt;"
-When I open the Trade Record page
-And I open the newest order
-Then the order's own page should open</t>
        </is>
      </c>
      <c r="G18" s="72" t="inlineStr">
        <is>
          <t>Valid UMPay user</t>
        </is>
      </c>
      <c r="H18" s="73" t="inlineStr">
        <is>
          <t>Opening an order should go to that order's own page, at an address naming the order</t>
        </is>
      </c>
      <c r="I18" s="73" t="inlineStr">
        <is>
          <t>User is on the order's own page</t>
        </is>
      </c>
      <c r="J18" s="73" t="inlineStr">
        <is>
          <t>The order opened at /deposit/zG0XAW5778xqoDYL?orderId=zG0XAW5778xqoDYL&amp;orderStatus=6&amp;navigateFrom=%2Fv2%2Ftrade-record</t>
        </is>
      </c>
      <c r="K18" s="74" t="inlineStr">
        <is>
          <t>PASS</t>
        </is>
      </c>
      <c r="L18" s="74" t="inlineStr">
        <is>
          <t>HIGH</t>
        </is>
      </c>
      <c r="M18" s="58" t="inlineStr">
        <is>
          <t>KIMA</t>
        </is>
      </c>
      <c r="N18" s="103" t="n">
        <v>46272</v>
      </c>
      <c r="O18" s="53" t="inlineStr">
        <is>
          <t>Window OS</t>
        </is>
      </c>
      <c r="P18" s="76" t="inlineStr">
        <is>
          <t>Chromium</t>
        </is>
      </c>
      <c r="Q18" s="70" t="n"/>
      <c r="R18" s="70" t="n"/>
      <c r="S18" s="77" t="inlineStr">
        <is>
          <t>Run</t>
        </is>
      </c>
    </row>
    <row r="19" ht="15.75" customHeight="1" s="51">
      <c r="A19" s="67" t="inlineStr">
        <is>
          <t>TC_011</t>
        </is>
      </c>
      <c r="B19" s="79" t="inlineStr">
        <is>
          <t>Trade Record Order</t>
        </is>
      </c>
      <c r="C19" s="72" t="inlineStr">
        <is>
          <t>Going back from an order returns to the trade record</t>
        </is>
      </c>
      <c r="D19" s="70" t="inlineStr">
        <is>
          <t>Positive</t>
        </is>
      </c>
      <c r="E19" s="71" t="inlineStr">
        <is>
          <t>User is on an order's own page</t>
        </is>
      </c>
      <c r="F19" s="72" t="inlineStr">
        <is>
          <t>-Given I log into the UMPay application with valid email credentials using "&lt;row&gt;" of "&lt;excelSheetName&gt;" of "&lt;excelFileName&gt;"
-When I open the Trade Record page
-And I open the newest order
-Then the order's own page should open
-When I go back to the trade record
-Then the trade record should be listing again</t>
        </is>
      </c>
      <c r="G19" s="72" t="inlineStr">
        <is>
          <t>Valid UMPay user</t>
        </is>
      </c>
      <c r="H19" s="73" t="inlineStr">
        <is>
          <t>Going back should return to the trade record, still listing the orders</t>
        </is>
      </c>
      <c r="I19" s="73" t="inlineStr">
        <is>
          <t>User is on the Trade Record page</t>
        </is>
      </c>
      <c r="J19" s="73" t="inlineStr">
        <is>
          <t>Going back returned to the trade record, still listing its orders</t>
        </is>
      </c>
      <c r="K19" s="74" t="inlineStr">
        <is>
          <t>PASS</t>
        </is>
      </c>
      <c r="L19" s="74" t="inlineStr">
        <is>
          <t>HIGH</t>
        </is>
      </c>
      <c r="M19" s="58" t="inlineStr">
        <is>
          <t>KIMA</t>
        </is>
      </c>
      <c r="N19" s="103" t="n">
        <v>46272</v>
      </c>
      <c r="O19" s="53" t="inlineStr">
        <is>
          <t>Window OS</t>
        </is>
      </c>
      <c r="P19" s="76" t="inlineStr">
        <is>
          <t>Chromium</t>
        </is>
      </c>
      <c r="Q19" s="70" t="n"/>
      <c r="R19" s="70" t="n"/>
      <c r="S19" s="77" t="inlineStr">
        <is>
          <t>Run</t>
        </is>
      </c>
    </row>
  </sheetData>
  <dataValidations count="7">
    <dataValidation sqref="K9:K19" showDropDown="0" showInputMessage="0" showErrorMessage="0" allowBlank="1" type="list">
      <formula1>"PASS,FAIL,PENDING"</formula1>
    </dataValidation>
    <dataValidation sqref="P9:P19" showDropDown="0" showInputMessage="0" showErrorMessage="0" allowBlank="1" type="list">
      <formula1>METADATA!$H$2:$H$8</formula1>
    </dataValidation>
    <dataValidation sqref="O9:O19" showDropDown="0" showInputMessage="0" showErrorMessage="0" allowBlank="1" type="list">
      <formula1>METADATA!$J$2:$J$7</formula1>
    </dataValidation>
    <dataValidation sqref="D9:D19" showDropDown="0" showInputMessage="0" showErrorMessage="0" allowBlank="1" type="list">
      <formula1>METADATA!$N$2:$N$3</formula1>
    </dataValidation>
    <dataValidation sqref="B4 M9:M19" showDropDown="0" showInputMessage="0" showErrorMessage="0" allowBlank="1" type="list">
      <formula1>METADATA!$F$2:$F$4</formula1>
    </dataValidation>
    <dataValidation sqref="L9:L19"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T21"/>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Wallet</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46272</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46272</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Wallet</t>
        </is>
      </c>
      <c r="C9" s="72" t="inlineStr">
        <is>
          <t>The profile drawer opens the account's wallets</t>
        </is>
      </c>
      <c r="D9" s="70" t="inlineStr">
        <is>
          <t>Positive</t>
        </is>
      </c>
      <c r="E9" s="71" t="inlineStr">
        <is>
          <t>User is signed in</t>
        </is>
      </c>
      <c r="F9" s="72" t="inlineStr">
        <is>
          <t>-Given I log into the UMPay application with valid email credentials using "&lt;row&gt;" of "&lt;excelSheetName&gt;" of "&lt;excelFileName&gt;"
-When I open the Wallet page
-Then the page should list the wallets the account holds</t>
        </is>
      </c>
      <c r="G9" s="72" t="inlineStr">
        <is>
          <t>Valid UMPay user</t>
        </is>
      </c>
      <c r="H9" s="73" t="inlineStr">
        <is>
          <t>The wallet page should open from the profile drawer, listing every wallet the account holds</t>
        </is>
      </c>
      <c r="I9" s="73" t="inlineStr">
        <is>
          <t>User is on the Wallet page</t>
        </is>
      </c>
      <c r="J9" s="73" t="inlineStr">
        <is>
          <t>The drawer opened /v2/wallet, listing 10 wallets: HKD, IDR, VND, PHP, MYR, BDT, USD, THB, MXN, BRL</t>
        </is>
      </c>
      <c r="K9" s="74" t="inlineStr">
        <is>
          <t>PASS</t>
        </is>
      </c>
      <c r="L9" s="74" t="inlineStr">
        <is>
          <t>HIGH</t>
        </is>
      </c>
      <c r="M9" s="58" t="inlineStr">
        <is>
          <t>KIMA</t>
        </is>
      </c>
      <c r="N9" s="103" t="n">
        <v>46272</v>
      </c>
      <c r="O9" s="53" t="inlineStr">
        <is>
          <t>Window OS</t>
        </is>
      </c>
      <c r="P9" s="76" t="inlineStr">
        <is>
          <t>Chromium</t>
        </is>
      </c>
      <c r="Q9" s="70" t="n"/>
      <c r="R9" s="70" t="n"/>
      <c r="S9" s="77" t="inlineStr">
        <is>
          <t>Run</t>
        </is>
      </c>
    </row>
    <row r="10" ht="15.75" customHeight="1" s="51">
      <c r="A10" s="67" t="inlineStr">
        <is>
          <t>TC_002</t>
        </is>
      </c>
      <c r="B10" s="79" t="inlineStr">
        <is>
          <t>Wallet List</t>
        </is>
      </c>
      <c r="C10" s="72" t="inlineStr">
        <is>
          <t>Every wallet names its currency, country, balance and what is blocked</t>
        </is>
      </c>
      <c r="D10" s="70" t="inlineStr">
        <is>
          <t>Positive</t>
        </is>
      </c>
      <c r="E10" s="71" t="inlineStr">
        <is>
          <t>User is on the Wallet page</t>
        </is>
      </c>
      <c r="F10" s="72" t="inlineStr">
        <is>
          <t>-Given I log into the UMPay application with valid email credentials using "&lt;row&gt;" of "&lt;excelSheetName&gt;" of "&lt;excelFileName&gt;"
-When I open the Wallet page
-Then every wallet should name its currency, country, balance and what is blocked</t>
        </is>
      </c>
      <c r="G10" s="72" t="inlineStr">
        <is>
          <t>Valid UMPay user</t>
        </is>
      </c>
      <c r="H10" s="73" t="inlineStr">
        <is>
          <t>Every wallet should name its currency, its country, its balance and its blocked amount</t>
        </is>
      </c>
      <c r="I10" s="73" t="inlineStr">
        <is>
          <t>User is on the Wallet page</t>
        </is>
      </c>
      <c r="J10" s="73" t="inlineStr">
        <is>
          <t>All 10 wallets named their currency, country, balance and blocked amount</t>
        </is>
      </c>
      <c r="K10" s="74" t="inlineStr">
        <is>
          <t>PASS</t>
        </is>
      </c>
      <c r="L10" s="74" t="inlineStr">
        <is>
          <t>HIGH</t>
        </is>
      </c>
      <c r="M10" s="58" t="inlineStr">
        <is>
          <t>KIMA</t>
        </is>
      </c>
      <c r="N10" s="103" t="n">
        <v>46272</v>
      </c>
      <c r="O10" s="53" t="inlineStr">
        <is>
          <t>Window OS</t>
        </is>
      </c>
      <c r="P10" s="76" t="inlineStr">
        <is>
          <t>Chromium</t>
        </is>
      </c>
      <c r="Q10" s="70" t="n"/>
      <c r="R10" s="70" t="n"/>
      <c r="S10" s="77" t="inlineStr">
        <is>
          <t>Run</t>
        </is>
      </c>
    </row>
    <row r="11" ht="15.75" customHeight="1" s="51">
      <c r="A11" s="67" t="inlineStr">
        <is>
          <t>TC_003</t>
        </is>
      </c>
      <c r="B11" s="79" t="inlineStr">
        <is>
          <t>Wallet List</t>
        </is>
      </c>
      <c r="C11" s="72" t="inlineStr">
        <is>
          <t>Exactly one wallet is the main wallet</t>
        </is>
      </c>
      <c r="D11" s="70" t="inlineStr">
        <is>
          <t>Positive</t>
        </is>
      </c>
      <c r="E11" s="71" t="inlineStr">
        <is>
          <t>User is on the Wallet page</t>
        </is>
      </c>
      <c r="F11" s="72" t="inlineStr">
        <is>
          <t>-Given I log into the UMPay application with valid email credentials using "&lt;row&gt;" of "&lt;excelSheetName&gt;" of "&lt;excelFileName&gt;"
-When I open the Wallet page
-Then exactly one wallet should be the main wallet</t>
        </is>
      </c>
      <c r="G11" s="72" t="inlineStr">
        <is>
          <t>Valid UMPay user</t>
        </is>
      </c>
      <c r="H11" s="73" t="inlineStr">
        <is>
          <t>One wallet should be marked as the main wallet, and every other should offer to become it</t>
        </is>
      </c>
      <c r="I11" s="73" t="inlineStr">
        <is>
          <t>User is on the Wallet page</t>
        </is>
      </c>
      <c r="J11" s="73" t="inlineStr">
        <is>
          <t>The main wallet was HKD, and the other 9 each offered to become it</t>
        </is>
      </c>
      <c r="K11" s="74" t="inlineStr">
        <is>
          <t>PASS</t>
        </is>
      </c>
      <c r="L11" s="74" t="inlineStr">
        <is>
          <t>HIGH</t>
        </is>
      </c>
      <c r="M11" s="58" t="inlineStr">
        <is>
          <t>KIMA</t>
        </is>
      </c>
      <c r="N11" s="103" t="n">
        <v>46272</v>
      </c>
      <c r="O11" s="53" t="inlineStr">
        <is>
          <t>Window OS</t>
        </is>
      </c>
      <c r="P11" s="76" t="inlineStr">
        <is>
          <t>Chromium</t>
        </is>
      </c>
      <c r="Q11" s="70" t="n"/>
      <c r="R11" s="70" t="n"/>
      <c r="S11" s="77" t="inlineStr">
        <is>
          <t>Run</t>
        </is>
      </c>
    </row>
    <row r="12" ht="15.75" customHeight="1" s="51">
      <c r="A12" s="67" t="inlineStr">
        <is>
          <t>TC_004</t>
        </is>
      </c>
      <c r="B12" s="79" t="inlineStr">
        <is>
          <t>Wallet List</t>
        </is>
      </c>
      <c r="C12" s="72" t="inlineStr">
        <is>
          <t>Each wallet states its balance and what is blocked in its own currency</t>
        </is>
      </c>
      <c r="D12" s="70" t="inlineStr">
        <is>
          <t>Positive</t>
        </is>
      </c>
      <c r="E12" s="71" t="inlineStr">
        <is>
          <t>User is on the Wallet page</t>
        </is>
      </c>
      <c r="F12" s="72" t="inlineStr">
        <is>
          <t>-Given I log into the UMPay application with valid email credentials using "&lt;row&gt;" of "&lt;excelSheetName&gt;" of "&lt;excelFileName&gt;"
-When I open the Wallet page
-Then each wallet's figures should be written in its own currency</t>
        </is>
      </c>
      <c r="G12" s="72" t="inlineStr">
        <is>
          <t>Valid UMPay user</t>
        </is>
      </c>
      <c r="H12" s="73" t="inlineStr">
        <is>
          <t>A wallet's balance and its blocked amount should be written in the same currency symbol</t>
        </is>
      </c>
      <c r="I12" s="73" t="inlineStr">
        <is>
          <t>User is on the Wallet page</t>
        </is>
      </c>
      <c r="J12" s="73" t="inlineStr">
        <is>
          <t>Every wallet used one symbol throughout: HKD=HK$, IDR=Rp, MYR=RM, USD=US$, BRL=R$, MXN=MXN$ and so on</t>
        </is>
      </c>
      <c r="K12" s="74" t="inlineStr">
        <is>
          <t>PASS</t>
        </is>
      </c>
      <c r="L12" s="74" t="inlineStr">
        <is>
          <t>MEDIUM</t>
        </is>
      </c>
      <c r="M12" s="58" t="inlineStr">
        <is>
          <t>KIMA</t>
        </is>
      </c>
      <c r="N12" s="103" t="n">
        <v>46272</v>
      </c>
      <c r="O12" s="53" t="inlineStr">
        <is>
          <t>Window OS</t>
        </is>
      </c>
      <c r="P12" s="76" t="inlineStr">
        <is>
          <t>Chromium</t>
        </is>
      </c>
      <c r="Q12" s="70" t="n"/>
      <c r="R12" s="70" t="n"/>
      <c r="S12" s="77" t="inlineStr">
        <is>
          <t>Run</t>
        </is>
      </c>
    </row>
    <row r="13" ht="15.75" customHeight="1" s="51">
      <c r="A13" s="67" t="inlineStr">
        <is>
          <t>TC_005</t>
        </is>
      </c>
      <c r="B13" s="79" t="inlineStr">
        <is>
          <t>Wallet Chart</t>
        </is>
      </c>
      <c r="C13" s="72" t="inlineStr">
        <is>
          <t>The chart only names countries the account holds a wallet for</t>
        </is>
      </c>
      <c r="D13" s="70" t="inlineStr">
        <is>
          <t>Positive</t>
        </is>
      </c>
      <c r="E13" s="71" t="inlineStr">
        <is>
          <t>User is on the Wallet page</t>
        </is>
      </c>
      <c r="F13" s="72" t="inlineStr">
        <is>
          <t>-Given I log into the UMPay application with valid email credentials using "&lt;row&gt;" of "&lt;excelSheetName&gt;" of "&lt;excelFileName&gt;"
-When I open the Wallet page
-Then every country in the chart should be one the account holds a wallet for</t>
        </is>
      </c>
      <c r="G13" s="72" t="inlineStr">
        <is>
          <t>Valid UMPay user</t>
        </is>
      </c>
      <c r="H13" s="73" t="inlineStr">
        <is>
          <t>Every country in the assets chart should be one the account holds a wallet for</t>
        </is>
      </c>
      <c r="I13" s="73" t="inlineStr">
        <is>
          <t>User is on the Wallet page</t>
        </is>
      </c>
      <c r="J13" s="73" t="inlineStr">
        <is>
          <t>The chart named Indonesia, Vietnam, Philippines, Malaysia and Bangladesh, all of them wallets the account holds</t>
        </is>
      </c>
      <c r="K13" s="74" t="inlineStr">
        <is>
          <t>PASS</t>
        </is>
      </c>
      <c r="L13" s="74" t="inlineStr">
        <is>
          <t>MEDIUM</t>
        </is>
      </c>
      <c r="M13" s="58" t="inlineStr">
        <is>
          <t>KIMA</t>
        </is>
      </c>
      <c r="N13" s="103" t="n">
        <v>46272</v>
      </c>
      <c r="O13" s="53" t="inlineStr">
        <is>
          <t>Window OS</t>
        </is>
      </c>
      <c r="P13" s="76" t="inlineStr">
        <is>
          <t>Chromium</t>
        </is>
      </c>
      <c r="Q13" s="70" t="n"/>
      <c r="R13" s="70" t="n"/>
      <c r="S13" s="77" t="inlineStr">
        <is>
          <t>Run</t>
        </is>
      </c>
    </row>
    <row r="14" ht="15.75" customHeight="1" s="51">
      <c r="A14" s="67" t="inlineStr">
        <is>
          <t>TC_006</t>
        </is>
      </c>
      <c r="B14" s="79" t="inlineStr">
        <is>
          <t>Wallet Detail</t>
        </is>
      </c>
      <c r="C14" s="72" t="inlineStr">
        <is>
          <t>A wallet opens its own page</t>
        </is>
      </c>
      <c r="D14" s="70" t="inlineStr">
        <is>
          <t>Positive</t>
        </is>
      </c>
      <c r="E14" s="71" t="inlineStr">
        <is>
          <t>User is on the Wallet page</t>
        </is>
      </c>
      <c r="F14" s="72" t="inlineStr">
        <is>
          <t>-Given I log into the UMPay application with valid email credentials using "&lt;row&gt;" of "&lt;excelSheetName&gt;" of "&lt;excelFileName&gt;"
-When I open the Wallet page
-And I open the wallet named in "&lt;row&gt;" of "&lt;excelSheetName&gt;" of "&lt;excelFileName&gt;"
-Then that wallet's own page should open
-And the wallet should state its total, what is available and what is locked</t>
        </is>
      </c>
      <c r="G14" s="72" t="inlineStr">
        <is>
          <t>Wallet: HKD</t>
        </is>
      </c>
      <c r="H14" s="73" t="inlineStr">
        <is>
          <t>Opening a wallet should go to that wallet's own page, stating its total, available and locked balances</t>
        </is>
      </c>
      <c r="I14" s="73" t="inlineStr">
        <is>
          <t>User is on the wallet's own page</t>
        </is>
      </c>
      <c r="J14" s="73" t="inlineStr">
        <is>
          <t>The HKD wallet opened at /v2/wallet/detail/record?currencyCode=HKD, stating all three balances</t>
        </is>
      </c>
      <c r="K14" s="74" t="inlineStr">
        <is>
          <t>PASS</t>
        </is>
      </c>
      <c r="L14" s="74" t="inlineStr">
        <is>
          <t>HIGH</t>
        </is>
      </c>
      <c r="M14" s="58" t="inlineStr">
        <is>
          <t>KIMA</t>
        </is>
      </c>
      <c r="N14" s="103" t="n">
        <v>46272</v>
      </c>
      <c r="O14" s="53" t="inlineStr">
        <is>
          <t>Window OS</t>
        </is>
      </c>
      <c r="P14" s="76" t="inlineStr">
        <is>
          <t>Chromium</t>
        </is>
      </c>
      <c r="Q14" s="70" t="n"/>
      <c r="R14" s="70" t="n"/>
      <c r="S14" s="77" t="inlineStr">
        <is>
          <t>Run</t>
        </is>
      </c>
    </row>
    <row r="15" ht="15.75" customHeight="1" s="51">
      <c r="A15" s="67" t="inlineStr">
        <is>
          <t>TC_007</t>
        </is>
      </c>
      <c r="B15" s="79" t="inlineStr">
        <is>
          <t>Wallet Detail</t>
        </is>
      </c>
      <c r="C15" s="72" t="inlineStr">
        <is>
          <t>A wallet's total is what is available plus what is locked</t>
        </is>
      </c>
      <c r="D15" s="70" t="inlineStr">
        <is>
          <t>Positive</t>
        </is>
      </c>
      <c r="E15" s="71" t="inlineStr">
        <is>
          <t>User is on a wallet's own page</t>
        </is>
      </c>
      <c r="F15" s="72" t="inlineStr">
        <is>
          <t>-Given I log into the UMPay application with valid email credentials using "&lt;row&gt;" of "&lt;excelSheetName&gt;" of "&lt;excelFileName&gt;"
-When I open the Wallet page
-And I open the wallet named in "&lt;row&gt;" of "&lt;excelSheetName&gt;" of "&lt;excelFileName&gt;"
-Then the wallet's total should be what is available plus what is locked</t>
        </is>
      </c>
      <c r="G15" s="72" t="inlineStr">
        <is>
          <t>Wallet: HKD</t>
        </is>
      </c>
      <c r="H15" s="73" t="inlineStr">
        <is>
          <t>The total balance should equal the available balance plus the amount locked</t>
        </is>
      </c>
      <c r="I15" s="73" t="inlineStr">
        <is>
          <t>User is on the wallet's own page</t>
        </is>
      </c>
      <c r="J15" s="73" t="inlineStr">
        <is>
          <t>8369.51 available plus 5544.32 locked came to the stated total of 13913.83</t>
        </is>
      </c>
      <c r="K15" s="74" t="inlineStr">
        <is>
          <t>PASS</t>
        </is>
      </c>
      <c r="L15" s="74" t="inlineStr">
        <is>
          <t>HIGH</t>
        </is>
      </c>
      <c r="M15" s="58" t="inlineStr">
        <is>
          <t>KIMA</t>
        </is>
      </c>
      <c r="N15" s="103" t="n">
        <v>46272</v>
      </c>
      <c r="O15" s="53" t="inlineStr">
        <is>
          <t>Window OS</t>
        </is>
      </c>
      <c r="P15" s="76" t="inlineStr">
        <is>
          <t>Chromium</t>
        </is>
      </c>
      <c r="Q15" s="70" t="n"/>
      <c r="R15" s="70" t="n"/>
      <c r="S15" s="77" t="inlineStr">
        <is>
          <t>Run</t>
        </is>
      </c>
    </row>
    <row r="16" ht="15.75" customHeight="1" s="51">
      <c r="A16" s="67" t="inlineStr">
        <is>
          <t>TC_008</t>
        </is>
      </c>
      <c r="B16" s="79" t="inlineStr">
        <is>
          <t>Wallet Detail</t>
        </is>
      </c>
      <c r="C16" s="72" t="inlineStr">
        <is>
          <t>A wallet keeps what has moved and what is held in two tabs</t>
        </is>
      </c>
      <c r="D16" s="70" t="inlineStr">
        <is>
          <t>Positive</t>
        </is>
      </c>
      <c r="E16" s="71" t="inlineStr">
        <is>
          <t>User is on a wallet's own page</t>
        </is>
      </c>
      <c r="F16" s="72" t="inlineStr">
        <is>
          <t>-Given I log into the UMPay application with valid email credentials using "&lt;row&gt;" of "&lt;excelSheetName&gt;" of "&lt;excelFileName&gt;"
-When I open the Wallet page
-And I open the wallet named in "&lt;row&gt;" of "&lt;excelSheetName&gt;" of "&lt;excelFileName&gt;"
-Then the wallet should offer the tabs "Record, Locked"</t>
        </is>
      </c>
      <c r="G16" s="72" t="inlineStr">
        <is>
          <t>Wallet: HKD</t>
        </is>
      </c>
      <c r="H16" s="73" t="inlineStr">
        <is>
          <t>The wallet should offer a Record tab and a Locked tab</t>
        </is>
      </c>
      <c r="I16" s="73" t="inlineStr">
        <is>
          <t>User is on the wallet's own page</t>
        </is>
      </c>
      <c r="J16" s="73" t="inlineStr">
        <is>
          <t>The wallet offered both the Record and Locked tabs</t>
        </is>
      </c>
      <c r="K16" s="74" t="inlineStr">
        <is>
          <t>PASS</t>
        </is>
      </c>
      <c r="L16" s="74" t="inlineStr">
        <is>
          <t>MEDIUM</t>
        </is>
      </c>
      <c r="M16" s="58" t="inlineStr">
        <is>
          <t>KIMA</t>
        </is>
      </c>
      <c r="N16" s="103" t="n">
        <v>46272</v>
      </c>
      <c r="O16" s="53" t="inlineStr">
        <is>
          <t>Window OS</t>
        </is>
      </c>
      <c r="P16" s="76" t="inlineStr">
        <is>
          <t>Chromium</t>
        </is>
      </c>
      <c r="Q16" s="70" t="n"/>
      <c r="R16" s="70" t="n"/>
      <c r="S16" s="77" t="inlineStr">
        <is>
          <t>Run</t>
        </is>
      </c>
    </row>
    <row r="17" ht="15.75" customHeight="1" s="51">
      <c r="A17" s="67" t="inlineStr">
        <is>
          <t>TC_009</t>
        </is>
      </c>
      <c r="B17" s="79" t="inlineStr">
        <is>
          <t>Wallet Detail</t>
        </is>
      </c>
      <c r="C17" s="72" t="inlineStr">
        <is>
          <t>The Record tab lists what has moved in that wallet</t>
        </is>
      </c>
      <c r="D17" s="70" t="inlineStr">
        <is>
          <t>Positive</t>
        </is>
      </c>
      <c r="E17" s="71" t="inlineStr">
        <is>
          <t>User is on a wallet's own page</t>
        </is>
      </c>
      <c r="F17" s="72" t="inlineStr">
        <is>
          <t>-Given I log into the UMPay application with valid email credentials using "&lt;row&gt;" of "&lt;excelSheetName&gt;" of "&lt;excelFileName&gt;"
-When I open the Wallet page
-And I open the wallet named in "&lt;row&gt;" of "&lt;excelSheetName&gt;" of "&lt;excelFileName&gt;"
-And I move to the wallet's "Record" tab
-Then every movement should name what it was, when it happened and how much</t>
        </is>
      </c>
      <c r="G17" s="72" t="inlineStr">
        <is>
          <t>Wallet: HKD</t>
        </is>
      </c>
      <c r="H17" s="73" t="inlineStr">
        <is>
          <t>Every movement should name what it was, when it happened and how much</t>
        </is>
      </c>
      <c r="I17" s="73" t="inlineStr">
        <is>
          <t>User is on the wallet's own page</t>
        </is>
      </c>
      <c r="J17" s="73" t="inlineStr">
        <is>
          <t>The Record tab listed 20 movements, the newest being Convert 2026-09-07 15:44:33 HK$-1</t>
        </is>
      </c>
      <c r="K17" s="74" t="inlineStr">
        <is>
          <t>PASS</t>
        </is>
      </c>
      <c r="L17" s="74" t="inlineStr">
        <is>
          <t>HIGH</t>
        </is>
      </c>
      <c r="M17" s="58" t="inlineStr">
        <is>
          <t>KIMA</t>
        </is>
      </c>
      <c r="N17" s="103" t="n">
        <v>46272</v>
      </c>
      <c r="O17" s="53" t="inlineStr">
        <is>
          <t>Window OS</t>
        </is>
      </c>
      <c r="P17" s="76" t="inlineStr">
        <is>
          <t>Chromium</t>
        </is>
      </c>
      <c r="Q17" s="70" t="n"/>
      <c r="R17" s="70" t="n"/>
      <c r="S17" s="77" t="inlineStr">
        <is>
          <t>Run</t>
        </is>
      </c>
    </row>
    <row r="18" ht="15.75" customHeight="1" s="51">
      <c r="A18" s="67" t="inlineStr">
        <is>
          <t>TC_010</t>
        </is>
      </c>
      <c r="B18" s="79" t="inlineStr">
        <is>
          <t>Wallet Detail</t>
        </is>
      </c>
      <c r="C18" s="72" t="inlineStr">
        <is>
          <t>The Locked tab lists what is being held against that wallet</t>
        </is>
      </c>
      <c r="D18" s="70" t="inlineStr">
        <is>
          <t>Positive</t>
        </is>
      </c>
      <c r="E18" s="71" t="inlineStr">
        <is>
          <t>User is on a wallet's own page</t>
        </is>
      </c>
      <c r="F18" s="72" t="inlineStr">
        <is>
          <t>-Given I log into the UMPay application with valid email credentials using "&lt;row&gt;" of "&lt;excelSheetName&gt;" of "&lt;excelFileName&gt;"
-When I open the Wallet page
-And I open the wallet named in "&lt;row&gt;" of "&lt;excelSheetName&gt;" of "&lt;excelFileName&gt;"
-And I move to the wallet's "Locked" tab
-Then every movement should name what it was, when it happened and how much</t>
        </is>
      </c>
      <c r="G18" s="72" t="inlineStr">
        <is>
          <t>Wallet: HKD</t>
        </is>
      </c>
      <c r="H18" s="73" t="inlineStr">
        <is>
          <t>Every held amount should name what it was, when it happened and how much</t>
        </is>
      </c>
      <c r="I18" s="73" t="inlineStr">
        <is>
          <t>User is on the wallet's own page</t>
        </is>
      </c>
      <c r="J18" s="73" t="inlineStr">
        <is>
          <t>The Locked tab listed 20 held amounts, the newest being Withdraw 2026-09-07 12:28:22 HK$-107</t>
        </is>
      </c>
      <c r="K18" s="74" t="inlineStr">
        <is>
          <t>PASS</t>
        </is>
      </c>
      <c r="L18" s="74" t="inlineStr">
        <is>
          <t>MEDIUM</t>
        </is>
      </c>
      <c r="M18" s="58" t="inlineStr">
        <is>
          <t>KIMA</t>
        </is>
      </c>
      <c r="N18" s="103" t="n">
        <v>46272</v>
      </c>
      <c r="O18" s="53" t="inlineStr">
        <is>
          <t>Window OS</t>
        </is>
      </c>
      <c r="P18" s="76" t="inlineStr">
        <is>
          <t>Chromium</t>
        </is>
      </c>
      <c r="Q18" s="70" t="n"/>
      <c r="R18" s="70" t="n"/>
      <c r="S18" s="77" t="inlineStr">
        <is>
          <t>Run</t>
        </is>
      </c>
    </row>
    <row r="19" ht="15.75" customHeight="1" s="51">
      <c r="A19" s="67" t="inlineStr">
        <is>
          <t>TC_011</t>
        </is>
      </c>
      <c r="B19" s="79" t="inlineStr">
        <is>
          <t>Wallet Detail</t>
        </is>
      </c>
      <c r="C19" s="72" t="inlineStr">
        <is>
          <t>A wallet's own page offers to make it the main wallet</t>
        </is>
      </c>
      <c r="D19" s="70" t="inlineStr">
        <is>
          <t>Positive</t>
        </is>
      </c>
      <c r="E19" s="71" t="inlineStr">
        <is>
          <t>User is on a wallet's own page</t>
        </is>
      </c>
      <c r="F19" s="72" t="inlineStr">
        <is>
          <t>-Given I log into the UMPay application with valid email credentials using "&lt;row&gt;" of "&lt;excelSheetName&gt;" of "&lt;excelFileName&gt;"
-When I open the Wallet page
-And I open the wallet named in "&lt;row&gt;" of "&lt;excelSheetName&gt;" of "&lt;excelFileName&gt;"
-Then the wallet should offer to become the main wallet</t>
        </is>
      </c>
      <c r="G19" s="72" t="inlineStr">
        <is>
          <t>Wallet: HKD</t>
        </is>
      </c>
      <c r="H19" s="73" t="inlineStr">
        <is>
          <t>The wallet should offer a Set as main button</t>
        </is>
      </c>
      <c r="I19" s="73" t="inlineStr">
        <is>
          <t>User is on the wallet's own page</t>
        </is>
      </c>
      <c r="J19" s="73" t="inlineStr">
        <is>
          <t>The wallet offered to become the main wallet</t>
        </is>
      </c>
      <c r="K19" s="74" t="inlineStr">
        <is>
          <t>PASS</t>
        </is>
      </c>
      <c r="L19" s="74" t="inlineStr">
        <is>
          <t>MEDIUM</t>
        </is>
      </c>
      <c r="M19" s="58" t="inlineStr">
        <is>
          <t>KIMA</t>
        </is>
      </c>
      <c r="N19" s="103" t="n">
        <v>46272</v>
      </c>
      <c r="O19" s="53" t="inlineStr">
        <is>
          <t>Window OS</t>
        </is>
      </c>
      <c r="P19" s="76" t="inlineStr">
        <is>
          <t>Chromium</t>
        </is>
      </c>
      <c r="Q19" s="70" t="n"/>
      <c r="R19" s="70" t="n"/>
      <c r="S19" s="77" t="inlineStr">
        <is>
          <t>Run</t>
        </is>
      </c>
    </row>
    <row r="20" ht="15.75" customHeight="1" s="51">
      <c r="A20" s="67" t="inlineStr">
        <is>
          <t>TC_012</t>
        </is>
      </c>
      <c r="B20" s="79" t="inlineStr">
        <is>
          <t>Wallet Detail</t>
        </is>
      </c>
      <c r="C20" s="72" t="inlineStr">
        <is>
          <t>Going back from a wallet returns to the list</t>
        </is>
      </c>
      <c r="D20" s="70" t="inlineStr">
        <is>
          <t>Positive</t>
        </is>
      </c>
      <c r="E20" s="71" t="inlineStr">
        <is>
          <t>User is on a wallet's own page</t>
        </is>
      </c>
      <c r="F20" s="72" t="inlineStr">
        <is>
          <t>-Given I log into the UMPay application with valid email credentials using "&lt;row&gt;" of "&lt;excelSheetName&gt;" of "&lt;excelFileName&gt;"
-When I open the Wallet page
-And I open the wallet named in "&lt;row&gt;" of "&lt;excelSheetName&gt;" of "&lt;excelFileName&gt;"
-Then that wallet's own page should open
-When I go back to the wallets
-Then the wallets should be listed again</t>
        </is>
      </c>
      <c r="G20" s="72" t="inlineStr">
        <is>
          <t>Wallet: HKD</t>
        </is>
      </c>
      <c r="H20" s="73" t="inlineStr">
        <is>
          <t>Going back should return to the list of wallets</t>
        </is>
      </c>
      <c r="I20" s="73" t="inlineStr">
        <is>
          <t>User is on the Wallet page</t>
        </is>
      </c>
      <c r="J20" s="73" t="inlineStr">
        <is>
          <t>Going back returned to the wallet list, all 10 still listed</t>
        </is>
      </c>
      <c r="K20" s="74" t="inlineStr">
        <is>
          <t>PASS</t>
        </is>
      </c>
      <c r="L20" s="74" t="inlineStr">
        <is>
          <t>MEDIUM</t>
        </is>
      </c>
      <c r="M20" s="58" t="inlineStr">
        <is>
          <t>KIMA</t>
        </is>
      </c>
      <c r="N20" s="103" t="n">
        <v>46272</v>
      </c>
      <c r="O20" s="53" t="inlineStr">
        <is>
          <t>Window OS</t>
        </is>
      </c>
      <c r="P20" s="76" t="inlineStr">
        <is>
          <t>Chromium</t>
        </is>
      </c>
      <c r="Q20" s="70" t="n"/>
      <c r="R20" s="70" t="n"/>
      <c r="S20" s="77" t="inlineStr">
        <is>
          <t>Run</t>
        </is>
      </c>
    </row>
    <row r="21" ht="15.75" customHeight="1" s="51">
      <c r="A21" s="67" t="inlineStr">
        <is>
          <t>TC_013</t>
        </is>
      </c>
      <c r="B21" s="79" t="inlineStr">
        <is>
          <t>Wallet Main</t>
        </is>
      </c>
      <c r="C21" s="72" t="inlineStr">
        <is>
          <t>The main wallet can be moved to another wallet and put back</t>
        </is>
      </c>
      <c r="D21" s="70" t="inlineStr">
        <is>
          <t>Positive</t>
        </is>
      </c>
      <c r="E21" s="71" t="inlineStr">
        <is>
          <t>User is on the Wallet page</t>
        </is>
      </c>
      <c r="F21" s="72" t="inlineStr">
        <is>
          <t>-Given I log into the UMPay application with valid email credentials using "&lt;row&gt;" of "&lt;excelSheetName&gt;" of "&lt;excelFileName&gt;"
-When I open the Wallet page
-And I make the wallet named in "&lt;row&gt;" of "&lt;excelSheetName&gt;" of "&lt;excelFileName&gt;" the main one
-Then that wallet should become the main one
-When I put the main wallet back
-Then the wallet that was main should be main again</t>
        </is>
      </c>
      <c r="G21" s="72" t="inlineStr">
        <is>
          <t>Move the main wallet to IDR</t>
        </is>
      </c>
      <c r="H21" s="73" t="inlineStr">
        <is>
          <t>The chosen wallet should become the main one, and setting the first one back should restore it</t>
        </is>
      </c>
      <c r="I21" s="73" t="inlineStr">
        <is>
          <t>The main wallet is as it was found</t>
        </is>
      </c>
      <c r="J21" s="73" t="inlineStr">
        <is>
          <t>The main wallet moved from HKD to IDR and was put back to HKD, with nothing asked first</t>
        </is>
      </c>
      <c r="K21" s="74" t="inlineStr">
        <is>
          <t>PASS</t>
        </is>
      </c>
      <c r="L21" s="74" t="inlineStr">
        <is>
          <t>HIGH</t>
        </is>
      </c>
      <c r="M21" s="58" t="inlineStr">
        <is>
          <t>KIMA</t>
        </is>
      </c>
      <c r="N21" s="103" t="n">
        <v>46272</v>
      </c>
      <c r="O21" s="53" t="inlineStr">
        <is>
          <t>Window OS</t>
        </is>
      </c>
      <c r="P21" s="76" t="inlineStr">
        <is>
          <t>Chromium</t>
        </is>
      </c>
      <c r="Q21" s="70" t="n"/>
      <c r="R21" s="70" t="n"/>
      <c r="S21" s="77" t="inlineStr">
        <is>
          <t>Run</t>
        </is>
      </c>
    </row>
  </sheetData>
  <dataValidations count="7">
    <dataValidation sqref="K9:K21" showDropDown="0" showInputMessage="0" showErrorMessage="0" allowBlank="1" type="list">
      <formula1>"PASS,FAIL,PENDING"</formula1>
    </dataValidation>
    <dataValidation sqref="P9:P21" showDropDown="0" showInputMessage="0" showErrorMessage="0" allowBlank="1" type="list">
      <formula1>METADATA!$H$2:$H$8</formula1>
    </dataValidation>
    <dataValidation sqref="O9:O21" showDropDown="0" showInputMessage="0" showErrorMessage="0" allowBlank="1" type="list">
      <formula1>METADATA!$J$2:$J$7</formula1>
    </dataValidation>
    <dataValidation sqref="D9:D21" showDropDown="0" showInputMessage="0" showErrorMessage="0" allowBlank="1" type="list">
      <formula1>METADATA!$N$2:$N$3</formula1>
    </dataValidation>
    <dataValidation sqref="B4 M9:M21" showDropDown="0" showInputMessage="0" showErrorMessage="0" allowBlank="1" type="list">
      <formula1>METADATA!$F$2:$F$4</formula1>
    </dataValidation>
    <dataValidation sqref="L9:L21"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 xmlns:r="http://schemas.openxmlformats.org/officeDocument/2006/relationships" ref="S20" r:id="rId12"/>
    <hyperlink xmlns:r="http://schemas.openxmlformats.org/officeDocument/2006/relationships" ref="S21" r:id="rId13"/>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T25"/>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Payment</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46272</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46272</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Payment</t>
        </is>
      </c>
      <c r="C9" s="72" t="inlineStr">
        <is>
          <t>The profile drawer opens the account's payment accounts</t>
        </is>
      </c>
      <c r="D9" s="70" t="inlineStr">
        <is>
          <t>Positive</t>
        </is>
      </c>
      <c r="E9" s="71" t="inlineStr">
        <is>
          <t>User is signed in</t>
        </is>
      </c>
      <c r="F9" s="72" t="inlineStr">
        <is>
          <t>-Given I log into the UMPay application with valid email credentials using "&lt;row&gt;" of "&lt;excelSheetName&gt;" of "&lt;excelFileName&gt;"
-When I open the Payment page
-Then the page should list the payment accounts the account can be paid out to</t>
        </is>
      </c>
      <c r="G9" s="72" t="inlineStr">
        <is>
          <t>Valid UMPay user</t>
        </is>
      </c>
      <c r="H9" s="73" t="inlineStr">
        <is>
          <t>The payment page should open from the profile drawer, listing the accounts the user can be paid out to</t>
        </is>
      </c>
      <c r="I9" s="73" t="inlineStr">
        <is>
          <t>User is on the Payment page</t>
        </is>
      </c>
      <c r="J9" s="73" t="inlineStr">
        <is>
          <t>The drawer opened /settings-payment, listing 6 providers: AFIRME, Bangkok Bank Plc., DANA, HSBC, FPS, USDT-TRC 20</t>
        </is>
      </c>
      <c r="K9" s="74" t="inlineStr">
        <is>
          <t>PASS</t>
        </is>
      </c>
      <c r="L9" s="74" t="inlineStr">
        <is>
          <t>HIGH</t>
        </is>
      </c>
      <c r="M9" s="58" t="inlineStr">
        <is>
          <t>KIMA</t>
        </is>
      </c>
      <c r="N9" s="103" t="n">
        <v>46272</v>
      </c>
      <c r="O9" s="53" t="inlineStr">
        <is>
          <t>Window OS</t>
        </is>
      </c>
      <c r="P9" s="76" t="inlineStr">
        <is>
          <t>Chromium</t>
        </is>
      </c>
      <c r="Q9" s="70" t="n"/>
      <c r="R9" s="70" t="n"/>
      <c r="S9" s="77" t="inlineStr">
        <is>
          <t>Run</t>
        </is>
      </c>
    </row>
    <row r="10" ht="15.75" customHeight="1" s="51">
      <c r="A10" s="67" t="inlineStr">
        <is>
          <t>TC_002</t>
        </is>
      </c>
      <c r="B10" s="79" t="inlineStr">
        <is>
          <t>Payment List</t>
        </is>
      </c>
      <c r="C10" s="72" t="inlineStr">
        <is>
          <t>Every saved account names its provider and what identifies it</t>
        </is>
      </c>
      <c r="D10" s="70" t="inlineStr">
        <is>
          <t>Positive</t>
        </is>
      </c>
      <c r="E10" s="71" t="inlineStr">
        <is>
          <t>User is on the Payment page</t>
        </is>
      </c>
      <c r="F10" s="72" t="inlineStr">
        <is>
          <t>-Given I log into the UMPay application with valid email credentials using "&lt;row&gt;" of "&lt;excelSheetName&gt;" of "&lt;excelFileName&gt;"
-When I open the Payment page
-Then every saved account should name its provider and what identifies it</t>
        </is>
      </c>
      <c r="G10" s="72" t="inlineStr">
        <is>
          <t>Valid UMPay user</t>
        </is>
      </c>
      <c r="H10" s="73" t="inlineStr">
        <is>
          <t>Every saved account should name its provider and carry the details that identify it, with none of them blank</t>
        </is>
      </c>
      <c r="I10" s="73" t="inlineStr">
        <is>
          <t>User is on the Payment page</t>
        </is>
      </c>
      <c r="J10" s="73" t="inlineStr">
        <is>
          <t>Every saved account named its provider and carried its details, none of them blank</t>
        </is>
      </c>
      <c r="K10" s="74" t="inlineStr">
        <is>
          <t>PASS</t>
        </is>
      </c>
      <c r="L10" s="74" t="inlineStr">
        <is>
          <t>HIGH</t>
        </is>
      </c>
      <c r="M10" s="58" t="inlineStr">
        <is>
          <t>KIMA</t>
        </is>
      </c>
      <c r="N10" s="103" t="n">
        <v>46272</v>
      </c>
      <c r="O10" s="53" t="inlineStr">
        <is>
          <t>Window OS</t>
        </is>
      </c>
      <c r="P10" s="76" t="inlineStr">
        <is>
          <t>Chromium</t>
        </is>
      </c>
      <c r="Q10" s="70" t="n"/>
      <c r="R10" s="70" t="n"/>
      <c r="S10" s="77" t="inlineStr">
        <is>
          <t>Run</t>
        </is>
      </c>
    </row>
    <row r="11" ht="15.75" customHeight="1" s="51">
      <c r="A11" s="67" t="inlineStr">
        <is>
          <t>TC_003</t>
        </is>
      </c>
      <c r="B11" s="79" t="inlineStr">
        <is>
          <t>Payment List</t>
        </is>
      </c>
      <c r="C11" s="72" t="inlineStr">
        <is>
          <t>Every saved account offers to be changed and removed</t>
        </is>
      </c>
      <c r="D11" s="70" t="inlineStr">
        <is>
          <t>Positive</t>
        </is>
      </c>
      <c r="E11" s="71" t="inlineStr">
        <is>
          <t>User is on the Payment page</t>
        </is>
      </c>
      <c r="F11" s="72" t="inlineStr">
        <is>
          <t>-Given I log into the UMPay application with valid email credentials using "&lt;row&gt;" of "&lt;excelSheetName&gt;" of "&lt;excelFileName&gt;"
-When I open the Payment page
-Then every saved account should offer to be changed and removed</t>
        </is>
      </c>
      <c r="G11" s="72" t="inlineStr">
        <is>
          <t>Valid UMPay user</t>
        </is>
      </c>
      <c r="H11" s="73" t="inlineStr">
        <is>
          <t>Each saved account should offer a way to change it and a way to remove it</t>
        </is>
      </c>
      <c r="I11" s="73" t="inlineStr">
        <is>
          <t>User is on the Payment page</t>
        </is>
      </c>
      <c r="J11" s="73" t="inlineStr">
        <is>
          <t>12 payment accounts across 6 providers, each offering to be changed and removed</t>
        </is>
      </c>
      <c r="K11" s="74" t="inlineStr">
        <is>
          <t>PASS</t>
        </is>
      </c>
      <c r="L11" s="74" t="inlineStr">
        <is>
          <t>HIGH</t>
        </is>
      </c>
      <c r="M11" s="58" t="inlineStr">
        <is>
          <t>KIMA</t>
        </is>
      </c>
      <c r="N11" s="103" t="n">
        <v>46272</v>
      </c>
      <c r="O11" s="53" t="inlineStr">
        <is>
          <t>Window OS</t>
        </is>
      </c>
      <c r="P11" s="76" t="inlineStr">
        <is>
          <t>Chromium</t>
        </is>
      </c>
      <c r="Q11" s="70" t="n"/>
      <c r="R11" s="70" t="n"/>
      <c r="S11" s="77" t="inlineStr">
        <is>
          <t>Run</t>
        </is>
      </c>
    </row>
    <row r="12" ht="15.75" customHeight="1" s="51">
      <c r="A12" s="67" t="inlineStr">
        <is>
          <t>TC_004</t>
        </is>
      </c>
      <c r="B12" s="79" t="inlineStr">
        <is>
          <t>Payment List</t>
        </is>
      </c>
      <c r="C12" s="72" t="inlineStr">
        <is>
          <t>A saved account can be opened to be changed</t>
        </is>
      </c>
      <c r="D12" s="70" t="inlineStr">
        <is>
          <t>Positive</t>
        </is>
      </c>
      <c r="E12" s="71" t="inlineStr">
        <is>
          <t>User is on the Payment page</t>
        </is>
      </c>
      <c r="F12" s="72" t="inlineStr">
        <is>
          <t>-Given I log into the UMPay application with valid email credentials using "&lt;row&gt;" of "&lt;excelSheetName&gt;" of "&lt;excelFileName&gt;"
-When I open the Payment page
-And I open the first saved account to change it
-Then somewhere to change it should open</t>
        </is>
      </c>
      <c r="G12" s="72" t="inlineStr">
        <is>
          <t>Valid UMPay user</t>
        </is>
      </c>
      <c r="H12" s="73" t="inlineStr">
        <is>
          <t>Choosing to change a saved account should open somewhere it can be changed</t>
        </is>
      </c>
      <c r="I12" s="73" t="inlineStr">
        <is>
          <t>User is on the edit form</t>
        </is>
      </c>
      <c r="J12" s="73" t="inlineStr">
        <is>
          <t>Changing an account opened /settings-payment/create?mode=form&amp;id=3024</t>
        </is>
      </c>
      <c r="K12" s="74" t="inlineStr">
        <is>
          <t>PASS</t>
        </is>
      </c>
      <c r="L12" s="74" t="inlineStr">
        <is>
          <t>HIGH</t>
        </is>
      </c>
      <c r="M12" s="58" t="inlineStr">
        <is>
          <t>KIMA</t>
        </is>
      </c>
      <c r="N12" s="103" t="n">
        <v>46272</v>
      </c>
      <c r="O12" s="53" t="inlineStr">
        <is>
          <t>Window OS</t>
        </is>
      </c>
      <c r="P12" s="76" t="inlineStr">
        <is>
          <t>Chromium</t>
        </is>
      </c>
      <c r="Q12" s="70" t="n"/>
      <c r="R12" s="70" t="n"/>
      <c r="S12" s="77" t="inlineStr">
        <is>
          <t>Run</t>
        </is>
      </c>
    </row>
    <row r="13" ht="15.75" customHeight="1" s="51">
      <c r="A13" s="67" t="inlineStr">
        <is>
          <t>TC_005</t>
        </is>
      </c>
      <c r="B13" s="79" t="inlineStr">
        <is>
          <t>Payment Add</t>
        </is>
      </c>
      <c r="C13" s="72" t="inlineStr">
        <is>
          <t>The page offers to add a payment account</t>
        </is>
      </c>
      <c r="D13" s="70" t="inlineStr">
        <is>
          <t>Positive</t>
        </is>
      </c>
      <c r="E13" s="71" t="inlineStr">
        <is>
          <t>User is on the Payment page</t>
        </is>
      </c>
      <c r="F13" s="72" t="inlineStr">
        <is>
          <t>-Given I log into the UMPay application with valid email credentials using "&lt;row&gt;" of "&lt;excelSheetName&gt;" of "&lt;excelFileName&gt;"
-When I open the Payment page
-And I start adding a payment account
-Then the form for a new payment account should open</t>
        </is>
      </c>
      <c r="G13" s="72" t="inlineStr">
        <is>
          <t>Valid UMPay user</t>
        </is>
      </c>
      <c r="H13" s="73" t="inlineStr">
        <is>
          <t>Add Payment should open the form for a new payment account</t>
        </is>
      </c>
      <c r="I13" s="73" t="inlineStr">
        <is>
          <t>User is on the Add Payment form</t>
        </is>
      </c>
      <c r="J13" s="73" t="inlineStr">
        <is>
          <t>Add Payment opened /settings-payment/create</t>
        </is>
      </c>
      <c r="K13" s="74" t="inlineStr">
        <is>
          <t>PASS</t>
        </is>
      </c>
      <c r="L13" s="74" t="inlineStr">
        <is>
          <t>HIGH</t>
        </is>
      </c>
      <c r="M13" s="58" t="inlineStr">
        <is>
          <t>KIMA</t>
        </is>
      </c>
      <c r="N13" s="103" t="n">
        <v>46272</v>
      </c>
      <c r="O13" s="53" t="inlineStr">
        <is>
          <t>Window OS</t>
        </is>
      </c>
      <c r="P13" s="76" t="inlineStr">
        <is>
          <t>Chromium</t>
        </is>
      </c>
      <c r="Q13" s="70" t="n"/>
      <c r="R13" s="70" t="n"/>
      <c r="S13" s="77" t="inlineStr">
        <is>
          <t>Run</t>
        </is>
      </c>
    </row>
    <row r="14" ht="15.75" customHeight="1" s="51">
      <c r="A14" s="67" t="inlineStr">
        <is>
          <t>TC_006</t>
        </is>
      </c>
      <c r="B14" s="79" t="inlineStr">
        <is>
          <t>Payment Add</t>
        </is>
      </c>
      <c r="C14" s="72" t="inlineStr">
        <is>
          <t>The form asks for a currency and offers every way of being paid</t>
        </is>
      </c>
      <c r="D14" s="70" t="inlineStr">
        <is>
          <t>Positive</t>
        </is>
      </c>
      <c r="E14" s="71" t="inlineStr">
        <is>
          <t>User is on the Add Payment form</t>
        </is>
      </c>
      <c r="F14" s="72" t="inlineStr">
        <is>
          <t>-Given I log into the UMPay application with valid email credentials using "&lt;row&gt;" of "&lt;excelSheetName&gt;" of "&lt;excelFileName&gt;"
-When I open the Payment page
-And I start adding a payment account
-Then the form should ask for a currency and offer "E-Wallet, Bank, USDT"</t>
        </is>
      </c>
      <c r="G14" s="72" t="inlineStr">
        <is>
          <t>Valid UMPay user</t>
        </is>
      </c>
      <c r="H14" s="73" t="inlineStr">
        <is>
          <t>The form should state the currency and offer E-Wallet, Bank and USDT</t>
        </is>
      </c>
      <c r="I14" s="73" t="inlineStr">
        <is>
          <t>User is on the Add Payment form</t>
        </is>
      </c>
      <c r="J14" s="73" t="inlineStr">
        <is>
          <t>The form was set to Hong Kong and offered E-Wallet, Bank and USDT</t>
        </is>
      </c>
      <c r="K14" s="74" t="inlineStr">
        <is>
          <t>PASS</t>
        </is>
      </c>
      <c r="L14" s="74" t="inlineStr">
        <is>
          <t>HIGH</t>
        </is>
      </c>
      <c r="M14" s="58" t="inlineStr">
        <is>
          <t>KIMA</t>
        </is>
      </c>
      <c r="N14" s="103" t="n">
        <v>46272</v>
      </c>
      <c r="O14" s="53" t="inlineStr">
        <is>
          <t>Window OS</t>
        </is>
      </c>
      <c r="P14" s="76" t="inlineStr">
        <is>
          <t>Chromium</t>
        </is>
      </c>
      <c r="Q14" s="70" t="n"/>
      <c r="R14" s="70" t="n"/>
      <c r="S14" s="77" t="inlineStr">
        <is>
          <t>Run</t>
        </is>
      </c>
    </row>
    <row r="15" ht="15.75" customHeight="1" s="51">
      <c r="A15" s="67" t="inlineStr">
        <is>
          <t>TC_007</t>
        </is>
      </c>
      <c r="B15" s="79" t="inlineStr">
        <is>
          <t>Payment Add</t>
        </is>
      </c>
      <c r="C15" s="72" t="inlineStr">
        <is>
          <t>Choosing to be paid by bank offers banks with their fees and how long they take</t>
        </is>
      </c>
      <c r="D15" s="70" t="inlineStr">
        <is>
          <t>Positive</t>
        </is>
      </c>
      <c r="E15" s="71" t="inlineStr">
        <is>
          <t>User is on the Add Payment form</t>
        </is>
      </c>
      <c r="F15" s="72" t="inlineStr">
        <is>
          <t>-Given I log into the UMPay application with valid email credentials using "&lt;row&gt;" of "&lt;excelSheetName&gt;" of "&lt;excelFileName&gt;"
-When I open the Payment page
-And I start adding a payment account
-And I choose the way of being paid named in "&lt;row&gt;" of "&lt;excelSheetName&gt;" of "&lt;excelFileName&gt;"
-Then the providers offered should each name how long they take and what they charge</t>
        </is>
      </c>
      <c r="G15" s="72" t="inlineStr">
        <is>
          <t>Way: Bank</t>
        </is>
      </c>
      <c r="H15" s="73" t="inlineStr">
        <is>
          <t>Every bank offered should name how long it takes and what it charges</t>
        </is>
      </c>
      <c r="I15" s="73" t="inlineStr">
        <is>
          <t>User is on the Add Payment form</t>
        </is>
      </c>
      <c r="J15" s="73" t="inlineStr">
        <is>
          <t>Offered 4 banks - Bank of China 6.20%, HSBC 6.00%, Hang Seng Bank 6.00%, Standard Chartered Bank 6.00% - each Duration:2mn</t>
        </is>
      </c>
      <c r="K15" s="74" t="inlineStr">
        <is>
          <t>PASS</t>
        </is>
      </c>
      <c r="L15" s="74" t="inlineStr">
        <is>
          <t>HIGH</t>
        </is>
      </c>
      <c r="M15" s="58" t="inlineStr">
        <is>
          <t>KIMA</t>
        </is>
      </c>
      <c r="N15" s="103" t="n">
        <v>46272</v>
      </c>
      <c r="O15" s="53" t="inlineStr">
        <is>
          <t>Window OS</t>
        </is>
      </c>
      <c r="P15" s="76" t="inlineStr">
        <is>
          <t>Chromium</t>
        </is>
      </c>
      <c r="Q15" s="70" t="n"/>
      <c r="R15" s="70" t="n"/>
      <c r="S15" s="77" t="inlineStr">
        <is>
          <t>Run</t>
        </is>
      </c>
    </row>
    <row r="16" ht="15.75" customHeight="1" s="51">
      <c r="A16" s="67" t="inlineStr">
        <is>
          <t>TC_008</t>
        </is>
      </c>
      <c r="B16" s="79" t="inlineStr">
        <is>
          <t>Payment Add</t>
        </is>
      </c>
      <c r="C16" s="72" t="inlineStr">
        <is>
          <t>Choosing to be paid by e-wallet offers e-wallets with their fees and how long they take</t>
        </is>
      </c>
      <c r="D16" s="70" t="inlineStr">
        <is>
          <t>Positive</t>
        </is>
      </c>
      <c r="E16" s="71" t="inlineStr">
        <is>
          <t>User is on the Add Payment form</t>
        </is>
      </c>
      <c r="F16" s="72" t="inlineStr">
        <is>
          <t>-Given I log into the UMPay application with valid email credentials using "&lt;row&gt;" of "&lt;excelSheetName&gt;" of "&lt;excelFileName&gt;"
-When I open the Payment page
-And I start adding a payment account
-And I choose the way of being paid named in "&lt;row&gt;" of "&lt;excelSheetName&gt;" of "&lt;excelFileName&gt;"
-Then the providers offered should each name how long they take and what they charge</t>
        </is>
      </c>
      <c r="G16" s="72" t="inlineStr">
        <is>
          <t>Way: E-Wallet</t>
        </is>
      </c>
      <c r="H16" s="73" t="inlineStr">
        <is>
          <t>Every e-wallet offered should name how long it takes and what it charges</t>
        </is>
      </c>
      <c r="I16" s="73" t="inlineStr">
        <is>
          <t>User is on the Add Payment form</t>
        </is>
      </c>
      <c r="J16" s="73" t="inlineStr">
        <is>
          <t>Offered FPS, Duration:2mn, Fee Charge:7.00%</t>
        </is>
      </c>
      <c r="K16" s="74" t="inlineStr">
        <is>
          <t>PASS</t>
        </is>
      </c>
      <c r="L16" s="74" t="inlineStr">
        <is>
          <t>MEDIUM</t>
        </is>
      </c>
      <c r="M16" s="58" t="inlineStr">
        <is>
          <t>KIMA</t>
        </is>
      </c>
      <c r="N16" s="103" t="n">
        <v>46272</v>
      </c>
      <c r="O16" s="53" t="inlineStr">
        <is>
          <t>Window OS</t>
        </is>
      </c>
      <c r="P16" s="76" t="inlineStr">
        <is>
          <t>Chromium</t>
        </is>
      </c>
      <c r="Q16" s="70" t="n"/>
      <c r="R16" s="70" t="n"/>
      <c r="S16" s="77" t="inlineStr">
        <is>
          <t>Run</t>
        </is>
      </c>
    </row>
    <row r="17" ht="15.75" customHeight="1" s="51">
      <c r="A17" s="67" t="inlineStr">
        <is>
          <t>TC_009</t>
        </is>
      </c>
      <c r="B17" s="79" t="inlineStr">
        <is>
          <t>Payment Add</t>
        </is>
      </c>
      <c r="C17" s="72" t="inlineStr">
        <is>
          <t>Choosing to be paid in USDT offers what it can be sent through</t>
        </is>
      </c>
      <c r="D17" s="70" t="inlineStr">
        <is>
          <t>Positive</t>
        </is>
      </c>
      <c r="E17" s="71" t="inlineStr">
        <is>
          <t>User is on the Add Payment form</t>
        </is>
      </c>
      <c r="F17" s="72" t="inlineStr">
        <is>
          <t>-Given I log into the UMPay application with valid email credentials using "&lt;row&gt;" of "&lt;excelSheetName&gt;" of "&lt;excelFileName&gt;"
-When I open the Payment page
-And I start adding a payment account
-And I choose the way of being paid named in "&lt;row&gt;" of "&lt;excelSheetName&gt;" of "&lt;excelFileName&gt;"
-Then the providers offered should each name how long they take and what they charge</t>
        </is>
      </c>
      <c r="G17" s="72" t="inlineStr">
        <is>
          <t>Way: USDT</t>
        </is>
      </c>
      <c r="H17" s="73" t="inlineStr">
        <is>
          <t>Every USDT network offered should name how long it takes and what it charges</t>
        </is>
      </c>
      <c r="I17" s="73" t="inlineStr">
        <is>
          <t>User is on the Add Payment form</t>
        </is>
      </c>
      <c r="J17" s="73" t="inlineStr">
        <is>
          <t>Offered USDT-TRC 20, Duration:1mn, Fee Charge:7.00%</t>
        </is>
      </c>
      <c r="K17" s="74" t="inlineStr">
        <is>
          <t>PASS</t>
        </is>
      </c>
      <c r="L17" s="74" t="inlineStr">
        <is>
          <t>MEDIUM</t>
        </is>
      </c>
      <c r="M17" s="58" t="inlineStr">
        <is>
          <t>KIMA</t>
        </is>
      </c>
      <c r="N17" s="103" t="n">
        <v>46272</v>
      </c>
      <c r="O17" s="53" t="inlineStr">
        <is>
          <t>Window OS</t>
        </is>
      </c>
      <c r="P17" s="76" t="inlineStr">
        <is>
          <t>Chromium</t>
        </is>
      </c>
      <c r="Q17" s="70" t="n"/>
      <c r="R17" s="70" t="n"/>
      <c r="S17" s="77" t="inlineStr">
        <is>
          <t>Run</t>
        </is>
      </c>
    </row>
    <row r="18" ht="15.75" customHeight="1" s="51">
      <c r="A18" s="67" t="inlineStr">
        <is>
          <t>TC_010</t>
        </is>
      </c>
      <c r="B18" s="79" t="inlineStr">
        <is>
          <t>Payment Add</t>
        </is>
      </c>
      <c r="C18" s="72" t="inlineStr">
        <is>
          <t>The providers can be searched</t>
        </is>
      </c>
      <c r="D18" s="70" t="inlineStr">
        <is>
          <t>Positive</t>
        </is>
      </c>
      <c r="E18" s="71" t="inlineStr">
        <is>
          <t>A way of being paid has been chosen</t>
        </is>
      </c>
      <c r="F18" s="72" t="inlineStr">
        <is>
          <t>-Given I log into the UMPay application with valid email credentials using "&lt;row&gt;" of "&lt;excelSheetName&gt;" of "&lt;excelFileName&gt;"
-When I open the Payment page
-And I start adding a payment account
-And I choose the way of being paid named in "&lt;row&gt;" of "&lt;excelSheetName&gt;" of "&lt;excelFileName&gt;"
-Then the providers should be searchable</t>
        </is>
      </c>
      <c r="G18" s="72" t="inlineStr">
        <is>
          <t>Way: Bank</t>
        </is>
      </c>
      <c r="H18" s="73" t="inlineStr">
        <is>
          <t>The list of providers should offer a search</t>
        </is>
      </c>
      <c r="I18" s="73" t="inlineStr">
        <is>
          <t>User is on the Add Payment form</t>
        </is>
      </c>
      <c r="J18" s="73" t="inlineStr">
        <is>
          <t>The providers offered a search</t>
        </is>
      </c>
      <c r="K18" s="74" t="inlineStr">
        <is>
          <t>PASS</t>
        </is>
      </c>
      <c r="L18" s="74" t="inlineStr">
        <is>
          <t>MEDIUM</t>
        </is>
      </c>
      <c r="M18" s="58" t="inlineStr">
        <is>
          <t>KIMA</t>
        </is>
      </c>
      <c r="N18" s="103" t="n">
        <v>46272</v>
      </c>
      <c r="O18" s="53" t="inlineStr">
        <is>
          <t>Window OS</t>
        </is>
      </c>
      <c r="P18" s="76" t="inlineStr">
        <is>
          <t>Chromium</t>
        </is>
      </c>
      <c r="Q18" s="70" t="n"/>
      <c r="R18" s="70" t="n"/>
      <c r="S18" s="77" t="inlineStr">
        <is>
          <t>Run</t>
        </is>
      </c>
    </row>
    <row r="19" ht="15.75" customHeight="1" s="51">
      <c r="A19" s="67" t="inlineStr">
        <is>
          <t>TC_011</t>
        </is>
      </c>
      <c r="B19" s="79" t="inlineStr">
        <is>
          <t>Payment Add</t>
        </is>
      </c>
      <c r="C19" s="72" t="inlineStr">
        <is>
          <t>Searching the providers leaves only what was searched for</t>
        </is>
      </c>
      <c r="D19" s="70" t="inlineStr">
        <is>
          <t>Positive</t>
        </is>
      </c>
      <c r="E19" s="71" t="inlineStr">
        <is>
          <t>A way of being paid has been chosen</t>
        </is>
      </c>
      <c r="F19" s="72" t="inlineStr">
        <is>
          <t>-Given I log into the UMPay application with valid email credentials using "&lt;row&gt;" of "&lt;excelSheetName&gt;" of "&lt;excelFileName&gt;"
-When I open the Payment page
-And I start adding a payment account
-And I choose the way of being paid named in "&lt;row&gt;" of "&lt;excelSheetName&gt;" of "&lt;excelFileName&gt;"
-And I search the providers for what is in "&lt;row&gt;" of "&lt;excelSheetName&gt;" of "&lt;excelFileName&gt;"
-Then only the providers matching it should be left</t>
        </is>
      </c>
      <c r="G19" s="72" t="inlineStr">
        <is>
          <t>Search: Bank</t>
        </is>
      </c>
      <c r="H19" s="73" t="inlineStr">
        <is>
          <t>Only the providers whose name matches the search should be left</t>
        </is>
      </c>
      <c r="I19" s="73" t="inlineStr">
        <is>
          <t>User is on the Add Payment form</t>
        </is>
      </c>
      <c r="J19" s="73" t="inlineStr">
        <is>
          <t>Searching for Bank took 4 providers down to 3, all of them matching</t>
        </is>
      </c>
      <c r="K19" s="74" t="inlineStr">
        <is>
          <t>PASS</t>
        </is>
      </c>
      <c r="L19" s="74" t="inlineStr">
        <is>
          <t>HIGH</t>
        </is>
      </c>
      <c r="M19" s="58" t="inlineStr">
        <is>
          <t>KIMA</t>
        </is>
      </c>
      <c r="N19" s="103" t="n">
        <v>46272</v>
      </c>
      <c r="O19" s="53" t="inlineStr">
        <is>
          <t>Window OS</t>
        </is>
      </c>
      <c r="P19" s="76" t="inlineStr">
        <is>
          <t>Chromium</t>
        </is>
      </c>
      <c r="Q19" s="70" t="n"/>
      <c r="R19" s="70" t="n"/>
      <c r="S19" s="77" t="inlineStr">
        <is>
          <t>Run</t>
        </is>
      </c>
    </row>
    <row r="20" ht="15.75" customHeight="1" s="51">
      <c r="A20" s="67" t="inlineStr">
        <is>
          <t>TC_012</t>
        </is>
      </c>
      <c r="B20" s="79" t="inlineStr">
        <is>
          <t>Payment Add</t>
        </is>
      </c>
      <c r="C20" s="72" t="inlineStr">
        <is>
          <t>Closing the providers leaves the form as it was</t>
        </is>
      </c>
      <c r="D20" s="70" t="inlineStr">
        <is>
          <t>Positive</t>
        </is>
      </c>
      <c r="E20" s="71" t="inlineStr">
        <is>
          <t>A way of being paid has been chosen</t>
        </is>
      </c>
      <c r="F20" s="72" t="inlineStr">
        <is>
          <t>-Given I log into the UMPay application with valid email credentials using "&lt;row&gt;" of "&lt;excelSheetName&gt;" of "&lt;excelFileName&gt;"
-When I open the Payment page
-And I start adding a payment account
-And I choose the way of being paid named in "&lt;row&gt;" of "&lt;excelSheetName&gt;" of "&lt;excelFileName&gt;"
-And I close what is being asked
-Then the form should still be there</t>
        </is>
      </c>
      <c r="G20" s="72" t="inlineStr">
        <is>
          <t>Way: Bank</t>
        </is>
      </c>
      <c r="H20" s="73" t="inlineStr">
        <is>
          <t>Closing the list should leave the form with its currency and its ways of being paid</t>
        </is>
      </c>
      <c r="I20" s="73" t="inlineStr">
        <is>
          <t>User is on the Add Payment form</t>
        </is>
      </c>
      <c r="J20" s="73" t="inlineStr">
        <is>
          <t>The form was still there, offering E-Wallet, Bank and USDT</t>
        </is>
      </c>
      <c r="K20" s="74" t="inlineStr">
        <is>
          <t>PASS</t>
        </is>
      </c>
      <c r="L20" s="74" t="inlineStr">
        <is>
          <t>MEDIUM</t>
        </is>
      </c>
      <c r="M20" s="58" t="inlineStr">
        <is>
          <t>KIMA</t>
        </is>
      </c>
      <c r="N20" s="103" t="n">
        <v>46272</v>
      </c>
      <c r="O20" s="53" t="inlineStr">
        <is>
          <t>Window OS</t>
        </is>
      </c>
      <c r="P20" s="76" t="inlineStr">
        <is>
          <t>Chromium</t>
        </is>
      </c>
      <c r="Q20" s="70" t="n"/>
      <c r="R20" s="70" t="n"/>
      <c r="S20" s="77" t="inlineStr">
        <is>
          <t>Run</t>
        </is>
      </c>
    </row>
    <row r="21" ht="15.75" customHeight="1" s="51">
      <c r="A21" s="67" t="inlineStr">
        <is>
          <t>TC_013</t>
        </is>
      </c>
      <c r="B21" s="79" t="inlineStr">
        <is>
          <t>Payment Add</t>
        </is>
      </c>
      <c r="C21" s="72" t="inlineStr">
        <is>
          <t>Going back from adding one returns to the saved accounts</t>
        </is>
      </c>
      <c r="D21" s="70" t="inlineStr">
        <is>
          <t>Positive</t>
        </is>
      </c>
      <c r="E21" s="71" t="inlineStr">
        <is>
          <t>User is on the Add Payment form</t>
        </is>
      </c>
      <c r="F21" s="72" t="inlineStr">
        <is>
          <t>-Given I log into the UMPay application with valid email credentials using "&lt;row&gt;" of "&lt;excelSheetName&gt;" of "&lt;excelFileName&gt;"
-When I open the Payment page
-And I start adding a payment account
-Then the form for a new payment account should open
-When I go back to the payment accounts
-Then the payment accounts should be listed again</t>
        </is>
      </c>
      <c r="G21" s="72" t="inlineStr">
        <is>
          <t>Valid UMPay user</t>
        </is>
      </c>
      <c r="H21" s="73" t="inlineStr">
        <is>
          <t>Going back should return to the list of saved payment accounts</t>
        </is>
      </c>
      <c r="I21" s="73" t="inlineStr">
        <is>
          <t>User is on the Payment page</t>
        </is>
      </c>
      <c r="J21" s="73" t="inlineStr">
        <is>
          <t>Going back returned to the payment accounts, all 6 providers still listed</t>
        </is>
      </c>
      <c r="K21" s="74" t="inlineStr">
        <is>
          <t>PASS</t>
        </is>
      </c>
      <c r="L21" s="74" t="inlineStr">
        <is>
          <t>MEDIUM</t>
        </is>
      </c>
      <c r="M21" s="58" t="inlineStr">
        <is>
          <t>KIMA</t>
        </is>
      </c>
      <c r="N21" s="103" t="n">
        <v>46272</v>
      </c>
      <c r="O21" s="53" t="inlineStr">
        <is>
          <t>Window OS</t>
        </is>
      </c>
      <c r="P21" s="76" t="inlineStr">
        <is>
          <t>Chromium</t>
        </is>
      </c>
      <c r="Q21" s="70" t="n"/>
      <c r="R21" s="70" t="n"/>
      <c r="S21" s="77" t="inlineStr">
        <is>
          <t>Run</t>
        </is>
      </c>
    </row>
    <row r="22" ht="15.75" customHeight="1" s="51">
      <c r="A22" s="67" t="inlineStr">
        <is>
          <t>TC_014</t>
        </is>
      </c>
      <c r="B22" s="79" t="inlineStr">
        <is>
          <t>Payment</t>
        </is>
      </c>
      <c r="C22" s="72" t="inlineStr">
        <is>
          <t>Searching the providers for something nobody offers says so</t>
        </is>
      </c>
      <c r="D22" s="70" t="inlineStr">
        <is>
          <t>Negative</t>
        </is>
      </c>
      <c r="E22" s="71" t="inlineStr">
        <is>
          <t>User is choosing a provider while adding a payment account</t>
        </is>
      </c>
      <c r="F22" s="72" t="inlineStr">
        <is>
          <t>-Given I log into the UMPay application with valid email credentials using "&lt;row&gt;" of "&lt;excelSheetName&gt;" of "&lt;excelFileName&gt;"
-When I open the Payment page
-And I start adding a payment account
-And I choose the way of being paid named in "&lt;row&gt;" of "&lt;excelSheetName&gt;" of "&lt;excelFileName&gt;"
-And I search the providers for "zzzznosuchprovider"
-Then no provider should be listed
-And the list should say there is nothing to show</t>
        </is>
      </c>
      <c r="G22" s="72" t="inlineStr">
        <is>
          <t>Search: zzzznosuchprovider</t>
        </is>
      </c>
      <c r="H22" s="73" t="inlineStr">
        <is>
          <t>No provider should be listed and the panel should say there is nothing to show, since a list that has quietly gone empty and one that says so look identical to somebody who cannot tell their own search emptied it</t>
        </is>
      </c>
      <c r="I22" s="73" t="inlineStr">
        <is>
          <t>User is choosing a provider</t>
        </is>
      </c>
      <c r="J22" s="73" t="inlineStr">
        <is>
          <t>Searching the four banks for "zzzznosuchprovider" left none listed and the panel said "No data", so the search itself explains why the list is empty</t>
        </is>
      </c>
      <c r="K22" s="74" t="inlineStr">
        <is>
          <t>PASS</t>
        </is>
      </c>
      <c r="L22" s="74" t="inlineStr">
        <is>
          <t>MEDIUM</t>
        </is>
      </c>
      <c r="M22" s="58" t="inlineStr">
        <is>
          <t>KIMA</t>
        </is>
      </c>
      <c r="N22" s="103" t="n">
        <v>46273</v>
      </c>
      <c r="O22" s="53" t="inlineStr">
        <is>
          <t>Window OS</t>
        </is>
      </c>
      <c r="P22" s="76" t="inlineStr">
        <is>
          <t>Chromium</t>
        </is>
      </c>
      <c r="Q22" s="70" t="n"/>
      <c r="R22" s="70" t="n"/>
      <c r="S22" s="77" t="inlineStr">
        <is>
          <t>Run</t>
        </is>
      </c>
    </row>
    <row r="23" ht="15.75" customHeight="1" s="51">
      <c r="A23" s="67" t="inlineStr">
        <is>
          <t>TC_015</t>
        </is>
      </c>
      <c r="B23" s="79" t="inlineStr">
        <is>
          <t>Payment</t>
        </is>
      </c>
      <c r="C23" s="72" t="inlineStr">
        <is>
          <t>Clearing a search that found nothing brings the providers back</t>
        </is>
      </c>
      <c r="D23" s="70" t="inlineStr">
        <is>
          <t>Negative</t>
        </is>
      </c>
      <c r="E23" s="71" t="inlineStr">
        <is>
          <t>A provider search has found nothing</t>
        </is>
      </c>
      <c r="F23" s="72" t="inlineStr">
        <is>
          <t>-Given I log into the UMPay application with valid email credentials using "&lt;row&gt;" of "&lt;excelSheetName&gt;" of "&lt;excelFileName&gt;"
-When I open the Payment page
-And I start adding a payment account
-And I choose the way of being paid named in "&lt;row&gt;" of "&lt;excelSheetName&gt;" of "&lt;excelFileName&gt;"
-And I search the providers for "zzzznosuchprovider"
-Then no provider should be listed
-When I clear the provider search
-Then the providers should be listed again</t>
        </is>
      </c>
      <c r="G23" s="72" t="inlineStr">
        <is>
          <t>Search: zzzznosuchprovider, then cleared</t>
        </is>
      </c>
      <c r="H23" s="73" t="inlineStr">
        <is>
          <t>Clearing the search should bring every provider back, since an empty result that cannot be undone would make somebody who mistyped close the panel and start the form again</t>
        </is>
      </c>
      <c r="I23" s="73" t="inlineStr">
        <is>
          <t>User is choosing a provider</t>
        </is>
      </c>
      <c r="J23" s="73" t="inlineStr">
        <is>
          <t>Clearing the search brought all four banks back, so a search that found nothing is not a dead end</t>
        </is>
      </c>
      <c r="K23" s="74" t="inlineStr">
        <is>
          <t>PASS</t>
        </is>
      </c>
      <c r="L23" s="74" t="inlineStr">
        <is>
          <t>MEDIUM</t>
        </is>
      </c>
      <c r="M23" s="58" t="inlineStr">
        <is>
          <t>KIMA</t>
        </is>
      </c>
      <c r="N23" s="103" t="n">
        <v>46273</v>
      </c>
      <c r="O23" s="53" t="inlineStr">
        <is>
          <t>Window OS</t>
        </is>
      </c>
      <c r="P23" s="76" t="inlineStr">
        <is>
          <t>Chromium</t>
        </is>
      </c>
      <c r="Q23" s="70" t="n"/>
      <c r="R23" s="70" t="n"/>
      <c r="S23" s="77" t="inlineStr">
        <is>
          <t>Run</t>
        </is>
      </c>
    </row>
    <row r="24" ht="15.75" customHeight="1" s="51">
      <c r="A24" s="67" t="inlineStr">
        <is>
          <t>TC_016</t>
        </is>
      </c>
      <c r="B24" s="79" t="inlineStr">
        <is>
          <t>Payment</t>
        </is>
      </c>
      <c r="C24" s="72" t="inlineStr">
        <is>
          <t>A saved account cannot be left without the details that identify it</t>
        </is>
      </c>
      <c r="D24" s="70" t="inlineStr">
        <is>
          <t>Negative</t>
        </is>
      </c>
      <c r="E24" s="71" t="inlineStr">
        <is>
          <t>User is changing a saved payment account</t>
        </is>
      </c>
      <c r="F24" s="72" t="inlineStr">
        <is>
          <t>-Given I log into the UMPay application with valid email credentials using "&lt;row&gt;" of "&lt;excelSheetName&gt;" of "&lt;excelFileName&gt;"
-When I open the Payment page
-And I open the first saved account to change it
-Then the change form should insist on the details that identify the account
-When I empty the first detail the form insists on
-Then the emptied detail should not be acceptable</t>
        </is>
      </c>
      <c r="G24" s="72" t="inlineStr">
        <is>
          <t>Account Name: emptied</t>
        </is>
      </c>
      <c r="H24" s="73" t="inlineStr">
        <is>
          <t>The form should insist on the details a payout is addressed to, and refuse one left blank - an account allowed to lose one is an account money would be sent into the dark</t>
        </is>
      </c>
      <c r="I24" s="73" t="inlineStr">
        <is>
          <t>Nothing is saved</t>
        </is>
      </c>
      <c r="J24" s="73" t="inlineStr">
        <is>
          <t>The change form insists on Account Name and Account Number. Emptying the Account Name made the box unacceptable and the form answered "Account Name is Required". Nothing was saved - Save was never pressed</t>
        </is>
      </c>
      <c r="K24" s="74" t="inlineStr">
        <is>
          <t>PASS</t>
        </is>
      </c>
      <c r="L24" s="74" t="inlineStr">
        <is>
          <t>HIGH</t>
        </is>
      </c>
      <c r="M24" s="58" t="inlineStr">
        <is>
          <t>KIMA</t>
        </is>
      </c>
      <c r="N24" s="103" t="n">
        <v>46273</v>
      </c>
      <c r="O24" s="53" t="inlineStr">
        <is>
          <t>Window OS</t>
        </is>
      </c>
      <c r="P24" s="76" t="inlineStr">
        <is>
          <t>Chromium</t>
        </is>
      </c>
      <c r="Q24" s="70" t="n"/>
      <c r="R24" s="70" t="n"/>
      <c r="S24" s="77" t="inlineStr">
        <is>
          <t>Run</t>
        </is>
      </c>
    </row>
    <row r="25" ht="15.75" customHeight="1" s="51">
      <c r="A25" s="67" t="inlineStr">
        <is>
          <t>TC_017</t>
        </is>
      </c>
      <c r="B25" s="79" t="inlineStr">
        <is>
          <t>Payment</t>
        </is>
      </c>
      <c r="C25" s="72" t="inlineStr">
        <is>
          <t>Leaving a change form without saving leaves the account as it was</t>
        </is>
      </c>
      <c r="D25" s="70" t="inlineStr">
        <is>
          <t>Negative</t>
        </is>
      </c>
      <c r="E25" s="71" t="inlineStr">
        <is>
          <t>User is changing a saved payment account</t>
        </is>
      </c>
      <c r="F25" s="72" t="inlineStr">
        <is>
          <t>-Given I log into the UMPay application with valid email credentials using "&lt;row&gt;" of "&lt;excelSheetName&gt;" of "&lt;excelFileName&gt;"
-When I open the Payment page
-And I open the first saved account to change it
-And I remember what the change form holds
-And I empty the first detail the form insists on
-And I go back to the payment accounts
-And I open the first saved account to change it
-Then the change form should hold what it held before</t>
        </is>
      </c>
      <c r="G25" s="72" t="inlineStr">
        <is>
          <t>Account Name: emptied, then abandoned</t>
        </is>
      </c>
      <c r="H25" s="73" t="inlineStr">
        <is>
          <t>Leaving the form without saving should change nothing, since a form that kept an emptied field on the way out would quietly break the withdraw and payout scenarios that pay into this account</t>
        </is>
      </c>
      <c r="I25" s="73" t="inlineStr">
        <is>
          <t>The account is unchanged</t>
        </is>
      </c>
      <c r="J25" s="73" t="inlineStr">
        <is>
          <t>The account held Account Name "test" and Account Number 5432552532. After emptying the Account Name, leaving the form and opening it again, it held exactly the same two values, so abandoning a change writes nothing back</t>
        </is>
      </c>
      <c r="K25" s="74" t="inlineStr">
        <is>
          <t>PASS</t>
        </is>
      </c>
      <c r="L25" s="74" t="inlineStr">
        <is>
          <t>HIGH</t>
        </is>
      </c>
      <c r="M25" s="58" t="inlineStr">
        <is>
          <t>KIMA</t>
        </is>
      </c>
      <c r="N25" s="103" t="n">
        <v>46273</v>
      </c>
      <c r="O25" s="53" t="inlineStr">
        <is>
          <t>Window OS</t>
        </is>
      </c>
      <c r="P25" s="76" t="inlineStr">
        <is>
          <t>Chromium</t>
        </is>
      </c>
      <c r="Q25" s="70" t="n"/>
      <c r="R25" s="70" t="n"/>
      <c r="S25" s="77" t="inlineStr">
        <is>
          <t>Run</t>
        </is>
      </c>
    </row>
  </sheetData>
  <dataValidations count="7">
    <dataValidation sqref="K9:K25" showDropDown="0" showInputMessage="0" showErrorMessage="0" allowBlank="1" type="list">
      <formula1>"PASS,FAIL,PENDING"</formula1>
    </dataValidation>
    <dataValidation sqref="P9:P25" showDropDown="0" showInputMessage="0" showErrorMessage="0" allowBlank="1" type="list">
      <formula1>METADATA!$H$2:$H$8</formula1>
    </dataValidation>
    <dataValidation sqref="O9:O25" showDropDown="0" showInputMessage="0" showErrorMessage="0" allowBlank="1" type="list">
      <formula1>METADATA!$J$2:$J$7</formula1>
    </dataValidation>
    <dataValidation sqref="D9:D25" showDropDown="0" showInputMessage="0" showErrorMessage="0" allowBlank="1" type="list">
      <formula1>METADATA!$N$2:$N$3</formula1>
    </dataValidation>
    <dataValidation sqref="B4 M9:M25" showDropDown="0" showInputMessage="0" showErrorMessage="0" allowBlank="1" type="list">
      <formula1>METADATA!$F$2:$F$4</formula1>
    </dataValidation>
    <dataValidation sqref="L9:L25"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 xmlns:r="http://schemas.openxmlformats.org/officeDocument/2006/relationships" ref="S20" r:id="rId12"/>
    <hyperlink xmlns:r="http://schemas.openxmlformats.org/officeDocument/2006/relationships" ref="S21" r:id="rId13"/>
    <hyperlink xmlns:r="http://schemas.openxmlformats.org/officeDocument/2006/relationships" ref="S22" r:id="rId14"/>
    <hyperlink xmlns:r="http://schemas.openxmlformats.org/officeDocument/2006/relationships" ref="S23" r:id="rId15"/>
    <hyperlink xmlns:r="http://schemas.openxmlformats.org/officeDocument/2006/relationships" ref="S24" r:id="rId16"/>
    <hyperlink xmlns:r="http://schemas.openxmlformats.org/officeDocument/2006/relationships" ref="S25" r:id="rId17"/>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T22"/>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Template</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46273</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46273</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Template</t>
        </is>
      </c>
      <c r="C9" s="72" t="inlineStr">
        <is>
          <t>The profile drawer opens the account's saved templates</t>
        </is>
      </c>
      <c r="D9" s="70" t="inlineStr">
        <is>
          <t>Positive</t>
        </is>
      </c>
      <c r="E9" s="71" t="inlineStr">
        <is>
          <t>User is signed in</t>
        </is>
      </c>
      <c r="F9" s="72" t="inlineStr">
        <is>
          <t>-Given I log into the UMPay application with valid email credentials using "&lt;row&gt;" of "&lt;excelSheetName&gt;" of "&lt;excelFileName&gt;"
-When I open the Template page
-Then the page should list the templates the account has saved</t>
        </is>
      </c>
      <c r="G9" s="72" t="inlineStr">
        <is>
          <t>Valid UMPay user</t>
        </is>
      </c>
      <c r="H9" s="73" t="inlineStr">
        <is>
          <t>The Templates page should open from the profile drawer, listing the destinations the user has saved</t>
        </is>
      </c>
      <c r="I9" s="73" t="inlineStr">
        <is>
          <t>User is on the Template page</t>
        </is>
      </c>
      <c r="J9" s="73" t="inlineStr">
        <is>
          <t>The drawer opened /v2/template, listing 10 saved templates - Outside China 2, Within China 3, Test, Within China 2, Outside China, Within China and four more</t>
        </is>
      </c>
      <c r="K9" s="74" t="inlineStr">
        <is>
          <t>PASS</t>
        </is>
      </c>
      <c r="L9" s="74" t="inlineStr">
        <is>
          <t>HIGH</t>
        </is>
      </c>
      <c r="M9" s="58" t="inlineStr">
        <is>
          <t>KIMA</t>
        </is>
      </c>
      <c r="N9" s="103" t="n">
        <v>46273</v>
      </c>
      <c r="O9" s="53" t="inlineStr">
        <is>
          <t>Window OS</t>
        </is>
      </c>
      <c r="P9" s="76" t="inlineStr">
        <is>
          <t>Chromium</t>
        </is>
      </c>
      <c r="Q9" s="70" t="n"/>
      <c r="R9" s="70" t="n"/>
      <c r="S9" s="77" t="inlineStr">
        <is>
          <t>Run</t>
        </is>
      </c>
    </row>
    <row r="10" ht="15.75" customHeight="1" s="51">
      <c r="A10" s="67" t="inlineStr">
        <is>
          <t>TC_002</t>
        </is>
      </c>
      <c r="B10" s="79" t="inlineStr">
        <is>
          <t>Template List</t>
        </is>
      </c>
      <c r="C10" s="72" t="inlineStr">
        <is>
          <t>Every saved template names itself and the account it pays</t>
        </is>
      </c>
      <c r="D10" s="70" t="inlineStr">
        <is>
          <t>Positive</t>
        </is>
      </c>
      <c r="E10" s="71" t="inlineStr">
        <is>
          <t>User is on the Template page</t>
        </is>
      </c>
      <c r="F10" s="72" t="inlineStr">
        <is>
          <t>-Given I log into the UMPay application with valid email credentials using "&lt;row&gt;" of "&lt;excelSheetName&gt;" of "&lt;excelFileName&gt;"
-When I open the Template page
-Then every saved template should carry a name and the account it pays</t>
        </is>
      </c>
      <c r="G10" s="72" t="inlineStr">
        <is>
          <t>Valid UMPay user</t>
        </is>
      </c>
      <c r="H10" s="73" t="inlineStr">
        <is>
          <t>Every saved template should carry the name it was given and the account it pays, with neither of them blank</t>
        </is>
      </c>
      <c r="I10" s="73" t="inlineStr">
        <is>
          <t>User is on the Template page</t>
        </is>
      </c>
      <c r="J10" s="73" t="inlineStr">
        <is>
          <t>All 10 named themselves and what they pay, none blank. The first: "Outside China 2" paying **********000004</t>
        </is>
      </c>
      <c r="K10" s="74" t="inlineStr">
        <is>
          <t>PASS</t>
        </is>
      </c>
      <c r="L10" s="74" t="inlineStr">
        <is>
          <t>HIGH</t>
        </is>
      </c>
      <c r="M10" s="58" t="inlineStr">
        <is>
          <t>KIMA</t>
        </is>
      </c>
      <c r="N10" s="103" t="n">
        <v>46273</v>
      </c>
      <c r="O10" s="53" t="inlineStr">
        <is>
          <t>Window OS</t>
        </is>
      </c>
      <c r="P10" s="76" t="inlineStr">
        <is>
          <t>Chromium</t>
        </is>
      </c>
      <c r="Q10" s="70" t="n"/>
      <c r="R10" s="70" t="n"/>
      <c r="S10" s="77" t="inlineStr">
        <is>
          <t>Run</t>
        </is>
      </c>
    </row>
    <row r="11" ht="15.75" customHeight="1" s="51">
      <c r="A11" s="67" t="inlineStr">
        <is>
          <t>TC_003</t>
        </is>
      </c>
      <c r="B11" s="79" t="inlineStr">
        <is>
          <t>Template List</t>
        </is>
      </c>
      <c r="C11" s="72" t="inlineStr">
        <is>
          <t>Every saved template shows the way of sending it was saved for</t>
        </is>
      </c>
      <c r="D11" s="70" t="inlineStr">
        <is>
          <t>Positive</t>
        </is>
      </c>
      <c r="E11" s="71" t="inlineStr">
        <is>
          <t>User is on the Template page</t>
        </is>
      </c>
      <c r="F11" s="72" t="inlineStr">
        <is>
          <t>-Given I log into the UMPay application with valid email credentials using "&lt;row&gt;" of "&lt;excelSheetName&gt;" of "&lt;excelFileName&gt;"
-When I open the Template page
-Then every saved template should show the way of sending it was saved for</t>
        </is>
      </c>
      <c r="G11" s="72" t="inlineStr">
        <is>
          <t>Valid UMPay user</t>
        </is>
      </c>
      <c r="H11" s="73" t="inlineStr">
        <is>
          <t>Every saved template should show the way of sending money it was saved for</t>
        </is>
      </c>
      <c r="I11" s="73" t="inlineStr">
        <is>
          <t>User is on the Template page</t>
        </is>
      </c>
      <c r="J11" s="73" t="inlineStr">
        <is>
          <t>All 10 carried the picture of the way they were saved for - global-transfer, domestic-transfer, a school logo and the wallet initial</t>
        </is>
      </c>
      <c r="K11" s="74" t="inlineStr">
        <is>
          <t>PASS</t>
        </is>
      </c>
      <c r="L11" s="74" t="inlineStr">
        <is>
          <t>MEDIUM</t>
        </is>
      </c>
      <c r="M11" s="58" t="inlineStr">
        <is>
          <t>KIMA</t>
        </is>
      </c>
      <c r="N11" s="103" t="n">
        <v>46273</v>
      </c>
      <c r="O11" s="53" t="inlineStr">
        <is>
          <t>Window OS</t>
        </is>
      </c>
      <c r="P11" s="76" t="inlineStr">
        <is>
          <t>Chromium</t>
        </is>
      </c>
      <c r="Q11" s="70" t="n"/>
      <c r="R11" s="70" t="n"/>
      <c r="S11" s="77" t="inlineStr">
        <is>
          <t>Run</t>
        </is>
      </c>
    </row>
    <row r="12" ht="15.75" customHeight="1" s="51">
      <c r="A12" s="67" t="inlineStr">
        <is>
          <t>TC_004</t>
        </is>
      </c>
      <c r="B12" s="79" t="inlineStr">
        <is>
          <t>Template List</t>
        </is>
      </c>
      <c r="C12" s="72" t="inlineStr">
        <is>
          <t>Every saved template offers to be changed and removed</t>
        </is>
      </c>
      <c r="D12" s="70" t="inlineStr">
        <is>
          <t>Positive</t>
        </is>
      </c>
      <c r="E12" s="71" t="inlineStr">
        <is>
          <t>User is on the Template page</t>
        </is>
      </c>
      <c r="F12" s="72" t="inlineStr">
        <is>
          <t>-Given I log into the UMPay application with valid email credentials using "&lt;row&gt;" of "&lt;excelSheetName&gt;" of "&lt;excelFileName&gt;"
-When I open the Template page
-Then every saved template should offer to be changed and removed</t>
        </is>
      </c>
      <c r="G12" s="72" t="inlineStr">
        <is>
          <t>Valid UMPay user</t>
        </is>
      </c>
      <c r="H12" s="73" t="inlineStr">
        <is>
          <t>Each saved template should offer a way to change it and a way to remove it</t>
        </is>
      </c>
      <c r="I12" s="73" t="inlineStr">
        <is>
          <t>User is on the Template page</t>
        </is>
      </c>
      <c r="J12" s="73" t="inlineStr">
        <is>
          <t>10 saved templates, each offering both a pencil and a bin</t>
        </is>
      </c>
      <c r="K12" s="74" t="inlineStr">
        <is>
          <t>PASS</t>
        </is>
      </c>
      <c r="L12" s="74" t="inlineStr">
        <is>
          <t>HIGH</t>
        </is>
      </c>
      <c r="M12" s="58" t="inlineStr">
        <is>
          <t>KIMA</t>
        </is>
      </c>
      <c r="N12" s="103" t="n">
        <v>46273</v>
      </c>
      <c r="O12" s="53" t="inlineStr">
        <is>
          <t>Window OS</t>
        </is>
      </c>
      <c r="P12" s="76" t="inlineStr">
        <is>
          <t>Chromium</t>
        </is>
      </c>
      <c r="Q12" s="70" t="n"/>
      <c r="R12" s="70" t="n"/>
      <c r="S12" s="77" t="inlineStr">
        <is>
          <t>Run</t>
        </is>
      </c>
    </row>
    <row r="13" ht="15.75" customHeight="1" s="51">
      <c r="A13" s="67" t="inlineStr">
        <is>
          <t>TC_005</t>
        </is>
      </c>
      <c r="B13" s="79" t="inlineStr">
        <is>
          <t>Template List</t>
        </is>
      </c>
      <c r="C13" s="72" t="inlineStr">
        <is>
          <t>A saved template can be opened to be changed</t>
        </is>
      </c>
      <c r="D13" s="70" t="inlineStr">
        <is>
          <t>Positive</t>
        </is>
      </c>
      <c r="E13" s="71" t="inlineStr">
        <is>
          <t>User is on the Template page</t>
        </is>
      </c>
      <c r="F13" s="72" t="inlineStr">
        <is>
          <t>-Given I log into the UMPay application with valid email credentials using "&lt;row&gt;" of "&lt;excelSheetName&gt;" of "&lt;excelFileName&gt;"
-When I open the Template page
-And I open the first saved template to change it
-Then somewhere to change that template should open</t>
        </is>
      </c>
      <c r="G13" s="72" t="inlineStr">
        <is>
          <t>Valid UMPay user</t>
        </is>
      </c>
      <c r="H13" s="73" t="inlineStr">
        <is>
          <t>Choosing to change a saved template should open the form it was saved from, carrying that template</t>
        </is>
      </c>
      <c r="I13" s="73" t="inlineStr">
        <is>
          <t>User is on the form that changes the template</t>
        </is>
      </c>
      <c r="J13" s="73" t="inlineStr">
        <is>
          <t>The pencil opened /global-transfer/union-pay/receiver-info?update-template=&amp;template-id=500, filled with that template and offering Update</t>
        </is>
      </c>
      <c r="K13" s="74" t="inlineStr">
        <is>
          <t>PASS</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Template Add</t>
        </is>
      </c>
      <c r="C14" s="72" t="inlineStr">
        <is>
          <t>The page offers to add a template</t>
        </is>
      </c>
      <c r="D14" s="70" t="inlineStr">
        <is>
          <t>Positive</t>
        </is>
      </c>
      <c r="E14" s="71" t="inlineStr">
        <is>
          <t>User is on the Template page</t>
        </is>
      </c>
      <c r="F14" s="72" t="inlineStr">
        <is>
          <t>-Given I log into the UMPay application with valid email credentials using "&lt;row&gt;" of "&lt;excelSheetName&gt;" of "&lt;excelFileName&gt;"
-When I open the Template page
-And I start adding a template
-Then the ways a template can be saved for should open</t>
        </is>
      </c>
      <c r="G14" s="72" t="inlineStr">
        <is>
          <t>Valid UMPay user</t>
        </is>
      </c>
      <c r="H14" s="73" t="inlineStr">
        <is>
          <t>Add Template should open the ways a template can be saved for</t>
        </is>
      </c>
      <c r="I14" s="73" t="inlineStr">
        <is>
          <t>User is on the Add Template options</t>
        </is>
      </c>
      <c r="J14" s="73" t="inlineStr">
        <is>
          <t>Add Template opened /v2/template/option</t>
        </is>
      </c>
      <c r="K14" s="74" t="inlineStr">
        <is>
          <t>PASS</t>
        </is>
      </c>
      <c r="L14" s="74" t="inlineStr">
        <is>
          <t>HIGH</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Template Add</t>
        </is>
      </c>
      <c r="C15" s="72" t="inlineStr">
        <is>
          <t>Adding one offers every way a template can be saved for</t>
        </is>
      </c>
      <c r="D15" s="70" t="inlineStr">
        <is>
          <t>Positive</t>
        </is>
      </c>
      <c r="E15" s="71" t="inlineStr">
        <is>
          <t>User is on the Add Template options</t>
        </is>
      </c>
      <c r="F15" s="72" t="inlineStr">
        <is>
          <t>-Given I log into the UMPay application with valid email credentials using "&lt;row&gt;" of "&lt;excelSheetName&gt;" of "&lt;excelFileName&gt;"
-When I open the Template page
-And I start adding a template
-Then the ways offered should be "UMPay to UMPay Wallet, UnionPay China, UnionPay Global, UMPay Transfer to School Fees, Transfer to Alipay, Transfer to Wechat"</t>
        </is>
      </c>
      <c r="G15" s="72" t="inlineStr">
        <is>
          <t>Valid UMPay user</t>
        </is>
      </c>
      <c r="H15" s="73" t="inlineStr">
        <is>
          <t>The page should offer UMPay to UMPay Wallet, UnionPay China, UnionPay Global, UMPay Transfer to School Fees, Transfer to Alipay and Transfer to Wechat</t>
        </is>
      </c>
      <c r="I15" s="73" t="inlineStr">
        <is>
          <t>User is on the Add Template options</t>
        </is>
      </c>
      <c r="J15" s="73" t="inlineStr">
        <is>
          <t>Offered all 6 - UMPay to UMPay Wallet, UnionPay China, UnionPay Global, UMPay Transfer to School Fees, Transfer to Alipay, Transfer to Wechat</t>
        </is>
      </c>
      <c r="K15" s="74" t="inlineStr">
        <is>
          <t>PASS</t>
        </is>
      </c>
      <c r="L15" s="74" t="inlineStr">
        <is>
          <t>HIGH</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Template Add</t>
        </is>
      </c>
      <c r="C16" s="72" t="inlineStr">
        <is>
          <t>The ways that are closed say so</t>
        </is>
      </c>
      <c r="D16" s="70" t="inlineStr">
        <is>
          <t>Positive</t>
        </is>
      </c>
      <c r="E16" s="71" t="inlineStr">
        <is>
          <t>User is on the Add Template options</t>
        </is>
      </c>
      <c r="F16" s="72" t="inlineStr">
        <is>
          <t>-Given I log into the UMPay application with valid email credentials using "&lt;row&gt;" of "&lt;excelSheetName&gt;" of "&lt;excelFileName&gt;"
-When I open the Template page
-And I start adding a template
-Then the ways "Transfer to Alipay, Transfer to Wechat" should be marked as under maintenance</t>
        </is>
      </c>
      <c r="G16" s="72" t="inlineStr">
        <is>
          <t>Valid UMPay user</t>
        </is>
      </c>
      <c r="H16" s="73" t="inlineStr">
        <is>
          <t>Transfer to Alipay and Transfer to Wechat should be marked as under maintenance</t>
        </is>
      </c>
      <c r="I16" s="73" t="inlineStr">
        <is>
          <t>User is on the Add Template options</t>
        </is>
      </c>
      <c r="J16" s="73" t="inlineStr">
        <is>
          <t>Transfer to Alipay and Transfer to Wechat were both marked Maintenance</t>
        </is>
      </c>
      <c r="K16" s="74" t="inlineStr">
        <is>
          <t>PASS</t>
        </is>
      </c>
      <c r="L16" s="74" t="inlineStr">
        <is>
          <t>MEDIUM</t>
        </is>
      </c>
      <c r="M16" s="58" t="inlineStr">
        <is>
          <t>KIMA</t>
        </is>
      </c>
      <c r="N16" s="103" t="n">
        <v>46273</v>
      </c>
      <c r="O16" s="53" t="inlineStr">
        <is>
          <t>Window OS</t>
        </is>
      </c>
      <c r="P16" s="76" t="inlineStr">
        <is>
          <t>Chromium</t>
        </is>
      </c>
      <c r="Q16" s="70" t="n"/>
      <c r="R16" s="70" t="n"/>
      <c r="S16" s="77" t="inlineStr">
        <is>
          <t>Run</t>
        </is>
      </c>
    </row>
    <row r="17" ht="15.75" customHeight="1" s="51">
      <c r="A17" s="67" t="inlineStr">
        <is>
          <t>TC_009</t>
        </is>
      </c>
      <c r="B17" s="79" t="inlineStr">
        <is>
          <t>Template Add</t>
        </is>
      </c>
      <c r="C17" s="72" t="inlineStr">
        <is>
          <t>A template can be started for a UMPay wallet</t>
        </is>
      </c>
      <c r="D17" s="70" t="inlineStr">
        <is>
          <t>Positive</t>
        </is>
      </c>
      <c r="E17" s="71" t="inlineStr">
        <is>
          <t>User is on the Add Template options</t>
        </is>
      </c>
      <c r="F17" s="72" t="inlineStr">
        <is>
          <t>-Given I log into the UMPay application with valid email credentials using "&lt;row&gt;" of "&lt;excelSheetName&gt;" of "&lt;excelFileName&gt;"
-When I open the Template page
-And I start adding a template
-And I choose the way named in "&lt;row&gt;" of "&lt;excelSheetName&gt;" of "&lt;excelFileName&gt;"
-Then somewhere to save that template should open</t>
        </is>
      </c>
      <c r="G17" s="72" t="inlineStr">
        <is>
          <t>Route: UMPay to UMPay Wallet</t>
        </is>
      </c>
      <c r="H17" s="73" t="inlineStr">
        <is>
          <t>Choosing it should open somewhere to save the template, asking what to call it</t>
        </is>
      </c>
      <c r="I17" s="73" t="inlineStr">
        <is>
          <t>User is on the new template form</t>
        </is>
      </c>
      <c r="J17" s="73" t="inlineStr">
        <is>
          <t>Opened /v2/template/form, asking for a template name and a mobile, email or ID</t>
        </is>
      </c>
      <c r="K17" s="74" t="inlineStr">
        <is>
          <t>PASS</t>
        </is>
      </c>
      <c r="L17" s="74" t="inlineStr">
        <is>
          <t>HIGH</t>
        </is>
      </c>
      <c r="M17" s="58" t="inlineStr">
        <is>
          <t>KIMA</t>
        </is>
      </c>
      <c r="N17" s="103" t="n">
        <v>46273</v>
      </c>
      <c r="O17" s="53" t="inlineStr">
        <is>
          <t>Window OS</t>
        </is>
      </c>
      <c r="P17" s="76" t="inlineStr">
        <is>
          <t>Chromium</t>
        </is>
      </c>
      <c r="Q17" s="70" t="n"/>
      <c r="R17" s="70" t="n"/>
      <c r="S17" s="77" t="inlineStr">
        <is>
          <t>Run</t>
        </is>
      </c>
    </row>
    <row r="18" ht="15.75" customHeight="1" s="51">
      <c r="A18" s="67" t="inlineStr">
        <is>
          <t>TC_010</t>
        </is>
      </c>
      <c r="B18" s="79" t="inlineStr">
        <is>
          <t>Template Add</t>
        </is>
      </c>
      <c r="C18" s="72" t="inlineStr">
        <is>
          <t>A template can be started for UnionPay China</t>
        </is>
      </c>
      <c r="D18" s="70" t="inlineStr">
        <is>
          <t>Positive</t>
        </is>
      </c>
      <c r="E18" s="71" t="inlineStr">
        <is>
          <t>User is on the Add Template options</t>
        </is>
      </c>
      <c r="F18" s="72" t="inlineStr">
        <is>
          <t>-Given I log into the UMPay application with valid email credentials using "&lt;row&gt;" of "&lt;excelSheetName&gt;" of "&lt;excelFileName&gt;"
-When I open the Template page
-And I start adding a template
-And I choose the way named in "&lt;row&gt;" of "&lt;excelSheetName&gt;" of "&lt;excelFileName&gt;"
-Then somewhere to save that template should open</t>
        </is>
      </c>
      <c r="G18" s="72" t="inlineStr">
        <is>
          <t>Route: UnionPay China</t>
        </is>
      </c>
      <c r="H18" s="73" t="inlineStr">
        <is>
          <t>Choosing it should open somewhere to save the template, asking what to call it</t>
        </is>
      </c>
      <c r="I18" s="73" t="inlineStr">
        <is>
          <t>User is on the new template form</t>
        </is>
      </c>
      <c r="J18" s="73" t="inlineStr">
        <is>
          <t>Opened /domestic-transfer/union-pay/receiver-info?create-template=, asking for a template name</t>
        </is>
      </c>
      <c r="K18" s="74" t="inlineStr">
        <is>
          <t>PASS</t>
        </is>
      </c>
      <c r="L18" s="74" t="inlineStr">
        <is>
          <t>HIGH</t>
        </is>
      </c>
      <c r="M18" s="58" t="inlineStr">
        <is>
          <t>KIMA</t>
        </is>
      </c>
      <c r="N18" s="103" t="n">
        <v>46273</v>
      </c>
      <c r="O18" s="53" t="inlineStr">
        <is>
          <t>Window OS</t>
        </is>
      </c>
      <c r="P18" s="76" t="inlineStr">
        <is>
          <t>Chromium</t>
        </is>
      </c>
      <c r="Q18" s="70" t="n"/>
      <c r="R18" s="70" t="n"/>
      <c r="S18" s="77" t="inlineStr">
        <is>
          <t>Run</t>
        </is>
      </c>
    </row>
    <row r="19" ht="15.75" customHeight="1" s="51">
      <c r="A19" s="67" t="inlineStr">
        <is>
          <t>TC_011</t>
        </is>
      </c>
      <c r="B19" s="79" t="inlineStr">
        <is>
          <t>Template Add</t>
        </is>
      </c>
      <c r="C19" s="72" t="inlineStr">
        <is>
          <t>A template can be started for UnionPay Global</t>
        </is>
      </c>
      <c r="D19" s="70" t="inlineStr">
        <is>
          <t>Positive</t>
        </is>
      </c>
      <c r="E19" s="71" t="inlineStr">
        <is>
          <t>User is on the Add Template options</t>
        </is>
      </c>
      <c r="F19" s="72" t="inlineStr">
        <is>
          <t>-Given I log into the UMPay application with valid email credentials using "&lt;row&gt;" of "&lt;excelSheetName&gt;" of "&lt;excelFileName&gt;"
-When I open the Template page
-And I start adding a template
-And I choose the way named in "&lt;row&gt;" of "&lt;excelSheetName&gt;" of "&lt;excelFileName&gt;"
-Then somewhere to save that template should open</t>
        </is>
      </c>
      <c r="G19" s="72" t="inlineStr">
        <is>
          <t>Route: UnionPay Global</t>
        </is>
      </c>
      <c r="H19" s="73" t="inlineStr">
        <is>
          <t>Choosing it should open somewhere to save the template, asking what to call it</t>
        </is>
      </c>
      <c r="I19" s="73" t="inlineStr">
        <is>
          <t>User is on the new template form</t>
        </is>
      </c>
      <c r="J19" s="73" t="inlineStr">
        <is>
          <t>Opened /global-transfer/union-pay/receiver-info?create-template=, asking for a template name</t>
        </is>
      </c>
      <c r="K19" s="74" t="inlineStr">
        <is>
          <t>PASS</t>
        </is>
      </c>
      <c r="L19" s="74" t="inlineStr">
        <is>
          <t>HIGH</t>
        </is>
      </c>
      <c r="M19" s="58" t="inlineStr">
        <is>
          <t>KIMA</t>
        </is>
      </c>
      <c r="N19" s="103" t="n">
        <v>46273</v>
      </c>
      <c r="O19" s="53" t="inlineStr">
        <is>
          <t>Window OS</t>
        </is>
      </c>
      <c r="P19" s="76" t="inlineStr">
        <is>
          <t>Chromium</t>
        </is>
      </c>
      <c r="Q19" s="70" t="n"/>
      <c r="R19" s="70" t="n"/>
      <c r="S19" s="77" t="inlineStr">
        <is>
          <t>Run</t>
        </is>
      </c>
    </row>
    <row r="20" ht="15.75" customHeight="1" s="51">
      <c r="A20" s="67" t="inlineStr">
        <is>
          <t>TC_012</t>
        </is>
      </c>
      <c r="B20" s="79" t="inlineStr">
        <is>
          <t>Template Add</t>
        </is>
      </c>
      <c r="C20" s="72" t="inlineStr">
        <is>
          <t>A template can be started for school fees</t>
        </is>
      </c>
      <c r="D20" s="70" t="inlineStr">
        <is>
          <t>Positive</t>
        </is>
      </c>
      <c r="E20" s="71" t="inlineStr">
        <is>
          <t>User is on the Add Template options</t>
        </is>
      </c>
      <c r="F20" s="72" t="inlineStr">
        <is>
          <t>-Given I log into the UMPay application with valid email credentials using "&lt;row&gt;" of "&lt;excelSheetName&gt;" of "&lt;excelFileName&gt;"
-When I open the Template page
-And I start adding a template
-And I choose the way named in "&lt;row&gt;" of "&lt;excelSheetName&gt;" of "&lt;excelFileName&gt;"
-Then somewhere to save that template should open</t>
        </is>
      </c>
      <c r="G20" s="72" t="inlineStr">
        <is>
          <t>Route: UMPay Transfer to School Fees</t>
        </is>
      </c>
      <c r="H20" s="73" t="inlineStr">
        <is>
          <t>Choosing it should open somewhere to save the template, asking what to call it</t>
        </is>
      </c>
      <c r="I20" s="73" t="inlineStr">
        <is>
          <t>User is on the new template form</t>
        </is>
      </c>
      <c r="J20" s="73" t="inlineStr">
        <is>
          <t>Opened /school-fee, asking for a template name</t>
        </is>
      </c>
      <c r="K20" s="74" t="inlineStr">
        <is>
          <t>PASS</t>
        </is>
      </c>
      <c r="L20" s="74" t="inlineStr">
        <is>
          <t>MEDIUM</t>
        </is>
      </c>
      <c r="M20" s="58" t="inlineStr">
        <is>
          <t>KIMA</t>
        </is>
      </c>
      <c r="N20" s="103" t="n">
        <v>46273</v>
      </c>
      <c r="O20" s="53" t="inlineStr">
        <is>
          <t>Window OS</t>
        </is>
      </c>
      <c r="P20" s="76" t="inlineStr">
        <is>
          <t>Chromium</t>
        </is>
      </c>
      <c r="Q20" s="70" t="n"/>
      <c r="R20" s="70" t="n"/>
      <c r="S20" s="77" t="inlineStr">
        <is>
          <t>Run</t>
        </is>
      </c>
    </row>
    <row r="21" ht="15.75" customHeight="1" s="51">
      <c r="A21" s="67" t="inlineStr">
        <is>
          <t>TC_013</t>
        </is>
      </c>
      <c r="B21" s="79" t="inlineStr">
        <is>
          <t>Template Add</t>
        </is>
      </c>
      <c r="C21" s="72" t="inlineStr">
        <is>
          <t>A way that is under maintenance does not open</t>
        </is>
      </c>
      <c r="D21" s="70" t="inlineStr">
        <is>
          <t>Negative</t>
        </is>
      </c>
      <c r="E21" s="71" t="inlineStr">
        <is>
          <t>User is on the Add Template options</t>
        </is>
      </c>
      <c r="F21" s="72" t="inlineStr">
        <is>
          <t>-Given I log into the UMPay application with valid email credentials using "&lt;row&gt;" of "&lt;excelSheetName&gt;" of "&lt;excelFileName&gt;"
-When I open the Template page
-And I start adding a template
-And I choose the way named in "&lt;row&gt;" of "&lt;excelSheetName&gt;" of "&lt;excelFileName&gt;"
-Then the ways a template can be saved for should still be offered</t>
        </is>
      </c>
      <c r="G21" s="72" t="inlineStr">
        <is>
          <t>Route: Transfer to Alipay</t>
        </is>
      </c>
      <c r="H21" s="73" t="inlineStr">
        <is>
          <t>Choosing a way that is under maintenance should open nothing and leave the ways as they were</t>
        </is>
      </c>
      <c r="I21" s="73" t="inlineStr">
        <is>
          <t>User is on the Add Template options</t>
        </is>
      </c>
      <c r="J21" s="73" t="inlineStr">
        <is>
          <t>Transfer to Alipay opened nothing - the page answered with a Warning and left all six ways still offered</t>
        </is>
      </c>
      <c r="K21" s="74" t="inlineStr">
        <is>
          <t>PASS</t>
        </is>
      </c>
      <c r="L21" s="74" t="inlineStr">
        <is>
          <t>MEDIUM</t>
        </is>
      </c>
      <c r="M21" s="58" t="inlineStr">
        <is>
          <t>KIMA</t>
        </is>
      </c>
      <c r="N21" s="103" t="n">
        <v>46273</v>
      </c>
      <c r="O21" s="53" t="inlineStr">
        <is>
          <t>Window OS</t>
        </is>
      </c>
      <c r="P21" s="76" t="inlineStr">
        <is>
          <t>Chromium</t>
        </is>
      </c>
      <c r="Q21" s="70" t="n"/>
      <c r="R21" s="70" t="n"/>
      <c r="S21" s="77" t="inlineStr">
        <is>
          <t>Run</t>
        </is>
      </c>
    </row>
    <row r="22" ht="15.75" customHeight="1" s="51">
      <c r="A22" s="67" t="inlineStr">
        <is>
          <t>TC_014</t>
        </is>
      </c>
      <c r="B22" s="79" t="inlineStr">
        <is>
          <t>Template Add</t>
        </is>
      </c>
      <c r="C22" s="72" t="inlineStr">
        <is>
          <t>Going back from the ways returns to the saved templates</t>
        </is>
      </c>
      <c r="D22" s="70" t="inlineStr">
        <is>
          <t>Positive</t>
        </is>
      </c>
      <c r="E22" s="71" t="inlineStr">
        <is>
          <t>User is on the Add Template options</t>
        </is>
      </c>
      <c r="F22" s="72" t="inlineStr">
        <is>
          <t>-Given I log into the UMPay application with valid email credentials using "&lt;row&gt;" of "&lt;excelSheetName&gt;" of "&lt;excelFileName&gt;"
-When I open the Template page
-And I start adding a template
-Then the ways a template can be saved for should open
-When I go back to the saved templates
-Then the saved templates should be listed again</t>
        </is>
      </c>
      <c r="G22" s="72" t="inlineStr">
        <is>
          <t>Valid UMPay user</t>
        </is>
      </c>
      <c r="H22" s="73" t="inlineStr">
        <is>
          <t>Going back should return to the list of saved templates, with all of them still there</t>
        </is>
      </c>
      <c r="I22" s="73" t="inlineStr">
        <is>
          <t>User is on the Template page</t>
        </is>
      </c>
      <c r="J22" s="73" t="inlineStr">
        <is>
          <t>Going back returned to the saved templates, all 10 still listed</t>
        </is>
      </c>
      <c r="K22" s="74" t="inlineStr">
        <is>
          <t>PASS</t>
        </is>
      </c>
      <c r="L22" s="74" t="inlineStr">
        <is>
          <t>MEDIUM</t>
        </is>
      </c>
      <c r="M22" s="58" t="inlineStr">
        <is>
          <t>KIMA</t>
        </is>
      </c>
      <c r="N22" s="103" t="n">
        <v>46273</v>
      </c>
      <c r="O22" s="53" t="inlineStr">
        <is>
          <t>Window OS</t>
        </is>
      </c>
      <c r="P22" s="76" t="inlineStr">
        <is>
          <t>Chromium</t>
        </is>
      </c>
      <c r="Q22" s="70" t="n"/>
      <c r="R22" s="70" t="n"/>
      <c r="S22" s="77" t="inlineStr">
        <is>
          <t>Run</t>
        </is>
      </c>
    </row>
  </sheetData>
  <dataValidations count="7">
    <dataValidation sqref="K9:K22" showDropDown="0" showInputMessage="0" showErrorMessage="0" allowBlank="1" type="list">
      <formula1>"PASS,FAIL,PENDING"</formula1>
    </dataValidation>
    <dataValidation sqref="P9:P22" showDropDown="0" showInputMessage="0" showErrorMessage="0" allowBlank="1" type="list">
      <formula1>METADATA!$H$2:$H$8</formula1>
    </dataValidation>
    <dataValidation sqref="O9:O22" showDropDown="0" showInputMessage="0" showErrorMessage="0" allowBlank="1" type="list">
      <formula1>METADATA!$J$2:$J$7</formula1>
    </dataValidation>
    <dataValidation sqref="D9:D22" showDropDown="0" showInputMessage="0" showErrorMessage="0" allowBlank="1" type="list">
      <formula1>METADATA!$N$2:$N$3</formula1>
    </dataValidation>
    <dataValidation sqref="B4 M9:M22" showDropDown="0" showInputMessage="0" showErrorMessage="0" allowBlank="1" type="list">
      <formula1>METADATA!$F$2:$F$4</formula1>
    </dataValidation>
    <dataValidation sqref="L9:L22"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 xmlns:r="http://schemas.openxmlformats.org/officeDocument/2006/relationships" ref="S20" r:id="rId12"/>
    <hyperlink xmlns:r="http://schemas.openxmlformats.org/officeDocument/2006/relationships" ref="S21" r:id="rId13"/>
    <hyperlink xmlns:r="http://schemas.openxmlformats.org/officeDocument/2006/relationships" ref="S22" r:id="rId14"/>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T18"/>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Transfer Fee Setting</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46273</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46273</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Transfer Fee Setting</t>
        </is>
      </c>
      <c r="C9" s="72" t="inlineStr">
        <is>
          <t>The profile drawer opens the transfer fee setting</t>
        </is>
      </c>
      <c r="D9" s="70" t="inlineStr">
        <is>
          <t>Positive</t>
        </is>
      </c>
      <c r="E9" s="71" t="inlineStr">
        <is>
          <t>User is signed in</t>
        </is>
      </c>
      <c r="F9" s="72" t="inlineStr">
        <is>
          <t>-Given I log into the UMPay application with valid email credentials using "&lt;row&gt;" of "&lt;excelSheetName&gt;" of "&lt;excelFileName&gt;"
-When I open the Transfer Fee Setting page
-Then the transfer fee setting should be shown</t>
        </is>
      </c>
      <c r="G9" s="72" t="inlineStr">
        <is>
          <t>Valid UMPay user</t>
        </is>
      </c>
      <c r="H9" s="73" t="inlineStr">
        <is>
          <t>The Transfer Fee Setting page should open from the profile drawer, showing who pays the fee on this account transfers</t>
        </is>
      </c>
      <c r="I9" s="73" t="inlineStr">
        <is>
          <t>User is on the Transfer Fee Setting page</t>
        </is>
      </c>
      <c r="J9" s="73" t="inlineStr">
        <is>
          <t>The drawer opened /settings/transfer-fee, with the account on "Fee will be selected by User" (user)</t>
        </is>
      </c>
      <c r="K9" s="74" t="inlineStr">
        <is>
          <t>PASS</t>
        </is>
      </c>
      <c r="L9" s="74" t="inlineStr">
        <is>
          <t>HIGH</t>
        </is>
      </c>
      <c r="M9" s="58" t="inlineStr">
        <is>
          <t>KIMA</t>
        </is>
      </c>
      <c r="N9" s="103" t="n">
        <v>46273</v>
      </c>
      <c r="O9" s="53" t="inlineStr">
        <is>
          <t>Window OS</t>
        </is>
      </c>
      <c r="P9" s="76" t="inlineStr">
        <is>
          <t>Chromium</t>
        </is>
      </c>
      <c r="Q9" s="70" t="n"/>
      <c r="R9" s="70" t="n"/>
      <c r="S9" s="77" t="inlineStr">
        <is>
          <t>Run</t>
        </is>
      </c>
    </row>
    <row r="10" ht="15.75" customHeight="1" s="51">
      <c r="A10" s="67" t="inlineStr">
        <is>
          <t>TC_002</t>
        </is>
      </c>
      <c r="B10" s="79" t="inlineStr">
        <is>
          <t>Transfer Fee Setting</t>
        </is>
      </c>
      <c r="C10" s="72" t="inlineStr">
        <is>
          <t>The page offers every way the fee can be settled</t>
        </is>
      </c>
      <c r="D10" s="70" t="inlineStr">
        <is>
          <t>Positive</t>
        </is>
      </c>
      <c r="E10" s="71" t="inlineStr">
        <is>
          <t>User is on the Transfer Fee Setting page</t>
        </is>
      </c>
      <c r="F10" s="72" t="inlineStr">
        <is>
          <t>-Given I log into the UMPay application with valid email credentials using "&lt;row&gt;" of "&lt;excelSheetName&gt;" of "&lt;excelFileName&gt;"
-When I open the Transfer Fee Setting page
-Then the ways of settling the fee should be "Fee will be selected by User, Fee will always be paid by other party, Fee will always be paid by me"</t>
        </is>
      </c>
      <c r="G10" s="72" t="inlineStr">
        <is>
          <t>Valid UMPay user</t>
        </is>
      </c>
      <c r="H10" s="73" t="inlineStr">
        <is>
          <t>The page should offer Fee will be selected by User, Fee will always be paid by other party and Fee will always be paid by me</t>
        </is>
      </c>
      <c r="I10" s="73" t="inlineStr">
        <is>
          <t>User is on the Transfer Fee Setting page</t>
        </is>
      </c>
      <c r="J10" s="73" t="inlineStr">
        <is>
          <t>Offered all 3 - Fee will be selected by User, Fee will always be paid by other party, Fee will always be paid by me</t>
        </is>
      </c>
      <c r="K10" s="74" t="inlineStr">
        <is>
          <t>PASS</t>
        </is>
      </c>
      <c r="L10" s="74" t="inlineStr">
        <is>
          <t>HIGH</t>
        </is>
      </c>
      <c r="M10" s="58" t="inlineStr">
        <is>
          <t>KIMA</t>
        </is>
      </c>
      <c r="N10" s="103" t="n">
        <v>46273</v>
      </c>
      <c r="O10" s="53" t="inlineStr">
        <is>
          <t>Window OS</t>
        </is>
      </c>
      <c r="P10" s="76" t="inlineStr">
        <is>
          <t>Chromium</t>
        </is>
      </c>
      <c r="Q10" s="70" t="n"/>
      <c r="R10" s="70" t="n"/>
      <c r="S10" s="77" t="inlineStr">
        <is>
          <t>Run</t>
        </is>
      </c>
    </row>
    <row r="11" ht="15.75" customHeight="1" s="51">
      <c r="A11" s="67" t="inlineStr">
        <is>
          <t>TC_003</t>
        </is>
      </c>
      <c r="B11" s="79" t="inlineStr">
        <is>
          <t>Transfer Fee Setting</t>
        </is>
      </c>
      <c r="C11" s="72" t="inlineStr">
        <is>
          <t>Exactly one way is chosen, and the page says which</t>
        </is>
      </c>
      <c r="D11" s="70" t="inlineStr">
        <is>
          <t>Positive</t>
        </is>
      </c>
      <c r="E11" s="71" t="inlineStr">
        <is>
          <t>User is on the Transfer Fee Setting page</t>
        </is>
      </c>
      <c r="F11" s="72" t="inlineStr">
        <is>
          <t>-Given I log into the UMPay application with valid email credentials using "&lt;row&gt;" of "&lt;excelSheetName&gt;" of "&lt;excelFileName&gt;"
-When I open the Transfer Fee Setting page
-Then exactly one way of settling the fee should be chosen</t>
        </is>
      </c>
      <c r="G11" s="72" t="inlineStr">
        <is>
          <t>Valid UMPay user</t>
        </is>
      </c>
      <c r="H11" s="73" t="inlineStr">
        <is>
          <t>Exactly one of the three ways should be chosen, and the page should say which one</t>
        </is>
      </c>
      <c r="I11" s="73" t="inlineStr">
        <is>
          <t>User is on the Transfer Fee Setting page</t>
        </is>
      </c>
      <c r="J11" s="73" t="inlineStr">
        <is>
          <t>Exactly one was chosen: "Fee will be selected by User" (user)</t>
        </is>
      </c>
      <c r="K11" s="74" t="inlineStr">
        <is>
          <t>PASS</t>
        </is>
      </c>
      <c r="L11" s="74" t="inlineStr">
        <is>
          <t>HIGH</t>
        </is>
      </c>
      <c r="M11" s="58" t="inlineStr">
        <is>
          <t>KIMA</t>
        </is>
      </c>
      <c r="N11" s="103" t="n">
        <v>46273</v>
      </c>
      <c r="O11" s="53" t="inlineStr">
        <is>
          <t>Window OS</t>
        </is>
      </c>
      <c r="P11" s="76" t="inlineStr">
        <is>
          <t>Chromium</t>
        </is>
      </c>
      <c r="Q11" s="70" t="n"/>
      <c r="R11" s="70" t="n"/>
      <c r="S11" s="77" t="inlineStr">
        <is>
          <t>Run</t>
        </is>
      </c>
    </row>
    <row r="12" ht="15.75" customHeight="1" s="51">
      <c r="A12" s="67" t="inlineStr">
        <is>
          <t>TC_004</t>
        </is>
      </c>
      <c r="B12" s="79" t="inlineStr">
        <is>
          <t>Transfer Fee Setting</t>
        </is>
      </c>
      <c r="C12" s="72" t="inlineStr">
        <is>
          <t>There is nothing to save until something is changed</t>
        </is>
      </c>
      <c r="D12" s="70" t="inlineStr">
        <is>
          <t>Negative</t>
        </is>
      </c>
      <c r="E12" s="71" t="inlineStr">
        <is>
          <t>User is on the Transfer Fee Setting page</t>
        </is>
      </c>
      <c r="F12" s="72" t="inlineStr">
        <is>
          <t>-Given I log into the UMPay application with valid email credentials using "&lt;row&gt;" of "&lt;excelSheetName&gt;" of "&lt;excelFileName&gt;"
-When I open the Transfer Fee Setting page
-Then the page should not offer to save anything</t>
        </is>
      </c>
      <c r="G12" s="72" t="inlineStr">
        <is>
          <t>Valid UMPay user</t>
        </is>
      </c>
      <c r="H12" s="73" t="inlineStr">
        <is>
          <t>Save should refuse to be pressed on a setting nobody has changed</t>
        </is>
      </c>
      <c r="I12" s="73" t="inlineStr">
        <is>
          <t>User is on the Transfer Fee Setting page</t>
        </is>
      </c>
      <c r="J12" s="73" t="inlineStr">
        <is>
          <t>Save refused to be pressed until a way had been changed</t>
        </is>
      </c>
      <c r="K12" s="74" t="inlineStr">
        <is>
          <t>PASS</t>
        </is>
      </c>
      <c r="L12" s="74" t="inlineStr">
        <is>
          <t>MEDIUM</t>
        </is>
      </c>
      <c r="M12" s="58" t="inlineStr">
        <is>
          <t>KIMA</t>
        </is>
      </c>
      <c r="N12" s="103" t="n">
        <v>46273</v>
      </c>
      <c r="O12" s="53" t="inlineStr">
        <is>
          <t>Window OS</t>
        </is>
      </c>
      <c r="P12" s="76" t="inlineStr">
        <is>
          <t>Chromium</t>
        </is>
      </c>
      <c r="Q12" s="70" t="n"/>
      <c r="R12" s="70" t="n"/>
      <c r="S12" s="77" t="inlineStr">
        <is>
          <t>Run</t>
        </is>
      </c>
    </row>
    <row r="13" ht="15.75" customHeight="1" s="51">
      <c r="A13" s="67" t="inlineStr">
        <is>
          <t>TC_005</t>
        </is>
      </c>
      <c r="B13" s="79" t="inlineStr">
        <is>
          <t>Transfer Fee Setting</t>
        </is>
      </c>
      <c r="C13" s="72" t="inlineStr">
        <is>
          <t>Choosing another way offers to save it</t>
        </is>
      </c>
      <c r="D13" s="70" t="inlineStr">
        <is>
          <t>Positive</t>
        </is>
      </c>
      <c r="E13" s="71" t="inlineStr">
        <is>
          <t>User is on the Transfer Fee Setting page</t>
        </is>
      </c>
      <c r="F13" s="72" t="inlineStr">
        <is>
          <t>-Given I log into the UMPay application with valid email credentials using "&lt;row&gt;" of "&lt;excelSheetName&gt;" of "&lt;excelFileName&gt;"
-When I open the Transfer Fee Setting page
-And I choose the way of settling the fee named in "&lt;row&gt;" of "&lt;excelSheetName&gt;" of "&lt;excelFileName&gt;"
-Then the page should offer to save it</t>
        </is>
      </c>
      <c r="G13" s="72" t="inlineStr">
        <is>
          <t>Way: Fee will always be paid by me</t>
        </is>
      </c>
      <c r="H13" s="73" t="inlineStr">
        <is>
          <t>Choosing a different way should bring Save alive so the change can be kept</t>
        </is>
      </c>
      <c r="I13" s="73" t="inlineStr">
        <is>
          <t>User is on the Transfer Fee Setting page</t>
        </is>
      </c>
      <c r="J13" s="73" t="inlineStr">
        <is>
          <t>Choosing "Fee will always be paid by me" brought Save alive</t>
        </is>
      </c>
      <c r="K13" s="74" t="inlineStr">
        <is>
          <t>PASS</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Transfer Fee Setting</t>
        </is>
      </c>
      <c r="C14" s="72" t="inlineStr">
        <is>
          <t>Choosing a way leaves only that way chosen</t>
        </is>
      </c>
      <c r="D14" s="70" t="inlineStr">
        <is>
          <t>Positive</t>
        </is>
      </c>
      <c r="E14" s="71" t="inlineStr">
        <is>
          <t>User is on the Transfer Fee Setting page</t>
        </is>
      </c>
      <c r="F14" s="72" t="inlineStr">
        <is>
          <t>-Given I log into the UMPay application with valid email credentials using "&lt;row&gt;" of "&lt;excelSheetName&gt;" of "&lt;excelFileName&gt;"
-When I open the Transfer Fee Setting page
-And I choose the way of settling the fee named in "&lt;row&gt;" of "&lt;excelSheetName&gt;" of "&lt;excelFileName&gt;"
-Then only that way should be chosen</t>
        </is>
      </c>
      <c r="G14" s="72" t="inlineStr">
        <is>
          <t>Way: Fee will always be paid by me</t>
        </is>
      </c>
      <c r="H14" s="73" t="inlineStr">
        <is>
          <t>Only the way just chosen should be chosen, since two of these would contradict the third</t>
        </is>
      </c>
      <c r="I14" s="73" t="inlineStr">
        <is>
          <t>User is on the Transfer Fee Setting page</t>
        </is>
      </c>
      <c r="J14" s="73" t="inlineStr">
        <is>
          <t>Only "Fee will always be paid by me" was left chosen, the other two cleared</t>
        </is>
      </c>
      <c r="K14" s="74" t="inlineStr">
        <is>
          <t>PASS</t>
        </is>
      </c>
      <c r="L14" s="74" t="inlineStr">
        <is>
          <t>HIGH</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Transfer Fee Save</t>
        </is>
      </c>
      <c r="C15" s="72" t="inlineStr">
        <is>
          <t>The fee can be set to always be paid by me, and it stays</t>
        </is>
      </c>
      <c r="D15" s="70" t="inlineStr">
        <is>
          <t>Positive</t>
        </is>
      </c>
      <c r="E15" s="71" t="inlineStr">
        <is>
          <t>User is on the Transfer Fee Setting page</t>
        </is>
      </c>
      <c r="F15" s="72" t="inlineStr">
        <is>
          <t>-Given I log into the UMPay application with valid email credentials using "&lt;row&gt;" of "&lt;excelSheetName&gt;" of "&lt;excelFileName&gt;"
-When I open the Transfer Fee Setting page
-And I put the fee setting on the way named in "&lt;row&gt;" of "&lt;excelSheetName&gt;" of "&lt;excelFileName&gt;"
-And I save the fee setting
-Then the fee setting should still be that way when the page is opened again
-When I put the fee setting back the way it was
-Then the fee setting should be what it was before</t>
        </is>
      </c>
      <c r="G15" s="72" t="inlineStr">
        <is>
          <t>Way: Fee will always be paid by me</t>
        </is>
      </c>
      <c r="H15" s="73" t="inlineStr">
        <is>
          <t>The setting should save and still be that way when the page is opened again, and the account should then be put back the way it was found</t>
        </is>
      </c>
      <c r="I15" s="73" t="inlineStr">
        <is>
          <t>The account is back on the setting it started on</t>
        </is>
      </c>
      <c r="J15" s="73" t="inlineStr">
        <is>
          <t>DEFECT - Save does nothing. "Fee will always be paid by me" was chosen and Save pressed, but opening the page again showed "Fee will be selected by User". Pressing Save sends no request at all - checked by a real click, by a scripted click and by raising the form submit - and shows no message and raises no error</t>
        </is>
      </c>
      <c r="K15" s="74" t="inlineStr">
        <is>
          <t>FAIL</t>
        </is>
      </c>
      <c r="L15" s="74" t="inlineStr">
        <is>
          <t>HIGH</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Transfer Fee Save</t>
        </is>
      </c>
      <c r="C16" s="72" t="inlineStr">
        <is>
          <t>The fee can be set to always be paid by the other party, and it stays</t>
        </is>
      </c>
      <c r="D16" s="70" t="inlineStr">
        <is>
          <t>Positive</t>
        </is>
      </c>
      <c r="E16" s="71" t="inlineStr">
        <is>
          <t>User is on the Transfer Fee Setting page</t>
        </is>
      </c>
      <c r="F16" s="72" t="inlineStr">
        <is>
          <t>-Given I log into the UMPay application with valid email credentials using "&lt;row&gt;" of "&lt;excelSheetName&gt;" of "&lt;excelFileName&gt;"
-When I open the Transfer Fee Setting page
-And I put the fee setting on the way named in "&lt;row&gt;" of "&lt;excelSheetName&gt;" of "&lt;excelFileName&gt;"
-And I save the fee setting
-Then the fee setting should still be that way when the page is opened again
-When I put the fee setting back the way it was
-Then the fee setting should be what it was before</t>
        </is>
      </c>
      <c r="G16" s="72" t="inlineStr">
        <is>
          <t>Way: Fee will always be paid by other party</t>
        </is>
      </c>
      <c r="H16" s="73" t="inlineStr">
        <is>
          <t>The setting should save and still be that way when the page is opened again, and the account should then be put back the way it was found</t>
        </is>
      </c>
      <c r="I16" s="73" t="inlineStr">
        <is>
          <t>The account is back on the setting it started on</t>
        </is>
      </c>
      <c r="J16" s="73" t="inlineStr">
        <is>
          <t>DEFECT - the same Save. "Fee will always be paid by other party" was chosen and saved, and opening the page again showed "Fee will be selected by User"</t>
        </is>
      </c>
      <c r="K16" s="74" t="inlineStr">
        <is>
          <t>FAIL</t>
        </is>
      </c>
      <c r="L16" s="74" t="inlineStr">
        <is>
          <t>HIGH</t>
        </is>
      </c>
      <c r="M16" s="58" t="inlineStr">
        <is>
          <t>KIMA</t>
        </is>
      </c>
      <c r="N16" s="103" t="n">
        <v>46273</v>
      </c>
      <c r="O16" s="53" t="inlineStr">
        <is>
          <t>Window OS</t>
        </is>
      </c>
      <c r="P16" s="76" t="inlineStr">
        <is>
          <t>Chromium</t>
        </is>
      </c>
      <c r="Q16" s="70" t="n"/>
      <c r="R16" s="70" t="n"/>
      <c r="S16" s="77" t="inlineStr">
        <is>
          <t>Run</t>
        </is>
      </c>
    </row>
    <row r="17" ht="15.75" customHeight="1" s="51">
      <c r="A17" s="67" t="inlineStr">
        <is>
          <t>TC_009</t>
        </is>
      </c>
      <c r="B17" s="79" t="inlineStr">
        <is>
          <t>Transfer Fee Save</t>
        </is>
      </c>
      <c r="C17" s="72" t="inlineStr">
        <is>
          <t>The fee can be set to be chosen transfer by transfer, and it stays</t>
        </is>
      </c>
      <c r="D17" s="70" t="inlineStr">
        <is>
          <t>Positive</t>
        </is>
      </c>
      <c r="E17" s="71" t="inlineStr">
        <is>
          <t>User is on the Transfer Fee Setting page</t>
        </is>
      </c>
      <c r="F17" s="72" t="inlineStr">
        <is>
          <t>-Given I log into the UMPay application with valid email credentials using "&lt;row&gt;" of "&lt;excelSheetName&gt;" of "&lt;excelFileName&gt;"
-When I open the Transfer Fee Setting page
-And I put the fee setting on the way named in "&lt;row&gt;" of "&lt;excelSheetName&gt;" of "&lt;excelFileName&gt;"
-And I save the fee setting
-Then the fee setting should still be that way when the page is opened again
-When I put the fee setting back the way it was
-Then the fee setting should be what it was before</t>
        </is>
      </c>
      <c r="G17" s="72" t="inlineStr">
        <is>
          <t>Way: Fee will be selected by User</t>
        </is>
      </c>
      <c r="H17" s="73" t="inlineStr">
        <is>
          <t>The setting should be moved off this way and back to it, save, and still be that way when the page is opened again</t>
        </is>
      </c>
      <c r="I17" s="73" t="inlineStr">
        <is>
          <t>The account is back on the setting it started on</t>
        </is>
      </c>
      <c r="J17" s="73" t="inlineStr">
        <is>
          <t>DEFECT - blocked by the same Save. The setting was moved to "Fee will always be paid by other party" and saved; that save did not keep, so returning to "Fee will be selected by User" was no change at all and Save stayed dead</t>
        </is>
      </c>
      <c r="K17" s="74" t="inlineStr">
        <is>
          <t>FAIL</t>
        </is>
      </c>
      <c r="L17" s="74" t="inlineStr">
        <is>
          <t>HIGH</t>
        </is>
      </c>
      <c r="M17" s="58" t="inlineStr">
        <is>
          <t>KIMA</t>
        </is>
      </c>
      <c r="N17" s="103" t="n">
        <v>46273</v>
      </c>
      <c r="O17" s="53" t="inlineStr">
        <is>
          <t>Window OS</t>
        </is>
      </c>
      <c r="P17" s="76" t="inlineStr">
        <is>
          <t>Chromium</t>
        </is>
      </c>
      <c r="Q17" s="70" t="n"/>
      <c r="R17" s="70" t="n"/>
      <c r="S17" s="77" t="inlineStr">
        <is>
          <t>Run</t>
        </is>
      </c>
    </row>
    <row r="18" ht="15.75" customHeight="1" s="51">
      <c r="A18" s="67" t="inlineStr">
        <is>
          <t>TC_010</t>
        </is>
      </c>
      <c r="B18" s="79" t="inlineStr">
        <is>
          <t>Transfer Fee Save</t>
        </is>
      </c>
      <c r="C18" s="72" t="inlineStr">
        <is>
          <t>Leaving without saving leaves the setting as it was</t>
        </is>
      </c>
      <c r="D18" s="70" t="inlineStr">
        <is>
          <t>Negative</t>
        </is>
      </c>
      <c r="E18" s="71" t="inlineStr">
        <is>
          <t>User is on the Transfer Fee Setting page</t>
        </is>
      </c>
      <c r="F18" s="72" t="inlineStr">
        <is>
          <t>-Given I log into the UMPay application with valid email credentials using "&lt;row&gt;" of "&lt;excelSheetName&gt;" of "&lt;excelFileName&gt;"
-When I open the Transfer Fee Setting page
-And I choose the way of settling the fee named in "&lt;row&gt;" of "&lt;excelSheetName&gt;" of "&lt;excelFileName&gt;"
-And I leave the page without saving
-Then the fee setting should be what it was before</t>
        </is>
      </c>
      <c r="G18" s="72" t="inlineStr">
        <is>
          <t>Way: Fee will always be paid by other party</t>
        </is>
      </c>
      <c r="H18" s="73" t="inlineStr">
        <is>
          <t>A way chosen but not saved should be forgotten when the page is left, leaving the account on the setting it was on</t>
        </is>
      </c>
      <c r="I18" s="73" t="inlineStr">
        <is>
          <t>The account is on the setting it started on</t>
        </is>
      </c>
      <c r="J18" s="73" t="inlineStr">
        <is>
          <t>Choosing "Fee will always be paid by other party" and leaving the page left the account on "Fee will be selected by User"</t>
        </is>
      </c>
      <c r="K18" s="74" t="inlineStr">
        <is>
          <t>PASS</t>
        </is>
      </c>
      <c r="L18" s="74" t="inlineStr">
        <is>
          <t>HIGH</t>
        </is>
      </c>
      <c r="M18" s="58" t="inlineStr">
        <is>
          <t>KIMA</t>
        </is>
      </c>
      <c r="N18" s="103" t="n">
        <v>46273</v>
      </c>
      <c r="O18" s="53" t="inlineStr">
        <is>
          <t>Window OS</t>
        </is>
      </c>
      <c r="P18" s="76" t="inlineStr">
        <is>
          <t>Chromium</t>
        </is>
      </c>
      <c r="Q18" s="70" t="n"/>
      <c r="R18" s="70" t="n"/>
      <c r="S18" s="77" t="inlineStr">
        <is>
          <t>Run</t>
        </is>
      </c>
    </row>
    <row r="19" ht="15.75" customHeight="1" s="51"/>
    <row r="20" ht="15.75" customHeight="1" s="51"/>
    <row r="21" ht="15.75" customHeight="1" s="51"/>
    <row r="22" ht="15.75" customHeight="1" s="51"/>
  </sheetData>
  <dataValidations count="7">
    <dataValidation sqref="K9:K18" showDropDown="0" showInputMessage="0" showErrorMessage="0" allowBlank="1" type="list">
      <formula1>"PASS,FAIL,PENDING"</formula1>
    </dataValidation>
    <dataValidation sqref="P9:P18" showDropDown="0" showInputMessage="0" showErrorMessage="0" allowBlank="1" type="list">
      <formula1>METADATA!$H$2:$H$8</formula1>
    </dataValidation>
    <dataValidation sqref="O9:O18" showDropDown="0" showInputMessage="0" showErrorMessage="0" allowBlank="1" type="list">
      <formula1>METADATA!$J$2:$J$7</formula1>
    </dataValidation>
    <dataValidation sqref="D9:D18" showDropDown="0" showInputMessage="0" showErrorMessage="0" allowBlank="1" type="list">
      <formula1>METADATA!$N$2:$N$3</formula1>
    </dataValidation>
    <dataValidation sqref="B4 M9:M18" showDropDown="0" showInputMessage="0" showErrorMessage="0" allowBlank="1" type="list">
      <formula1>METADATA!$F$2:$F$4</formula1>
    </dataValidation>
    <dataValidation sqref="L9:L18"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T21"/>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Security</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46273</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46273</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Security</t>
        </is>
      </c>
      <c r="C9" s="72" t="inlineStr">
        <is>
          <t>The profile drawer opens what guards the account</t>
        </is>
      </c>
      <c r="D9" s="70" t="inlineStr">
        <is>
          <t>Positive</t>
        </is>
      </c>
      <c r="E9" s="71" t="inlineStr">
        <is>
          <t>User is signed in</t>
        </is>
      </c>
      <c r="F9" s="72" t="inlineStr">
        <is>
          <t>-Given I log into the UMPay application with valid email credentials using "&lt;row&gt;" of "&lt;excelSheetName&gt;" of "&lt;excelFileName&gt;"
-When I open the Security page
-Then the page should list what guards the account</t>
        </is>
      </c>
      <c r="G9" s="72" t="inlineStr">
        <is>
          <t>Valid UMPay user</t>
        </is>
      </c>
      <c r="H9" s="73" t="inlineStr">
        <is>
          <t>The Security page should open from the profile drawer, listing what guards the account</t>
        </is>
      </c>
      <c r="I9" s="73" t="inlineStr">
        <is>
          <t>User is on the Security page</t>
        </is>
      </c>
      <c r="J9" s="73" t="inlineStr">
        <is>
          <t>The drawer opened /securities, listing Login Password, PIN Code and 2FA Authenticator</t>
        </is>
      </c>
      <c r="K9" s="74" t="inlineStr">
        <is>
          <t>PASS</t>
        </is>
      </c>
      <c r="L9" s="74" t="inlineStr">
        <is>
          <t>HIGH</t>
        </is>
      </c>
      <c r="M9" s="58" t="inlineStr">
        <is>
          <t>KIMA</t>
        </is>
      </c>
      <c r="N9" s="103" t="n">
        <v>46273</v>
      </c>
      <c r="O9" s="53" t="inlineStr">
        <is>
          <t>Window OS</t>
        </is>
      </c>
      <c r="P9" s="76" t="inlineStr">
        <is>
          <t>Chromium</t>
        </is>
      </c>
      <c r="Q9" s="70" t="n"/>
      <c r="R9" s="70" t="n"/>
      <c r="S9" s="77" t="inlineStr">
        <is>
          <t>Run</t>
        </is>
      </c>
    </row>
    <row r="10" ht="15.75" customHeight="1" s="51">
      <c r="A10" s="67" t="inlineStr">
        <is>
          <t>TC_002</t>
        </is>
      </c>
      <c r="B10" s="79" t="inlineStr">
        <is>
          <t>Security</t>
        </is>
      </c>
      <c r="C10" s="72" t="inlineStr">
        <is>
          <t>The page offers everything the account is guarded by</t>
        </is>
      </c>
      <c r="D10" s="70" t="inlineStr">
        <is>
          <t>Positive</t>
        </is>
      </c>
      <c r="E10" s="71" t="inlineStr">
        <is>
          <t>User is on the Security page</t>
        </is>
      </c>
      <c r="F10" s="72" t="inlineStr">
        <is>
          <t>-Given I log into the UMPay application with valid email credentials using "&lt;row&gt;" of "&lt;excelSheetName&gt;" of "&lt;excelFileName&gt;"
-When I open the Security page
-Then what guards the account should be "Login Password, PIN Code, 2FA Authenticator"</t>
        </is>
      </c>
      <c r="G10" s="72" t="inlineStr">
        <is>
          <t>Valid UMPay user</t>
        </is>
      </c>
      <c r="H10" s="73" t="inlineStr">
        <is>
          <t>The page should offer Login Password, PIN Code and 2FA Authenticator</t>
        </is>
      </c>
      <c r="I10" s="73" t="inlineStr">
        <is>
          <t>User is on the Security page</t>
        </is>
      </c>
      <c r="J10" s="73" t="inlineStr">
        <is>
          <t>Offered all 3 - Login Password, PIN Code, 2FA Authenticator</t>
        </is>
      </c>
      <c r="K10" s="74" t="inlineStr">
        <is>
          <t>PASS</t>
        </is>
      </c>
      <c r="L10" s="74" t="inlineStr">
        <is>
          <t>HIGH</t>
        </is>
      </c>
      <c r="M10" s="58" t="inlineStr">
        <is>
          <t>KIMA</t>
        </is>
      </c>
      <c r="N10" s="103" t="n">
        <v>46273</v>
      </c>
      <c r="O10" s="53" t="inlineStr">
        <is>
          <t>Window OS</t>
        </is>
      </c>
      <c r="P10" s="76" t="inlineStr">
        <is>
          <t>Chromium</t>
        </is>
      </c>
      <c r="Q10" s="70" t="n"/>
      <c r="R10" s="70" t="n"/>
      <c r="S10" s="77" t="inlineStr">
        <is>
          <t>Run</t>
        </is>
      </c>
    </row>
    <row r="11" ht="15.75" customHeight="1" s="51">
      <c r="A11" s="67" t="inlineStr">
        <is>
          <t>TC_003</t>
        </is>
      </c>
      <c r="B11" s="79" t="inlineStr">
        <is>
          <t>Security</t>
        </is>
      </c>
      <c r="C11" s="72" t="inlineStr">
        <is>
          <t>The page says whether the authenticator is connected</t>
        </is>
      </c>
      <c r="D11" s="70" t="inlineStr">
        <is>
          <t>Positive</t>
        </is>
      </c>
      <c r="E11" s="71" t="inlineStr">
        <is>
          <t>User is on the Security page</t>
        </is>
      </c>
      <c r="F11" s="72" t="inlineStr">
        <is>
          <t>-Given I log into the UMPay application with valid email credentials using "&lt;row&gt;" of "&lt;excelSheetName&gt;" of "&lt;excelFileName&gt;"
-When I open the Security page
-Then the authenticator should say whether it is connected</t>
        </is>
      </c>
      <c r="G11" s="72" t="inlineStr">
        <is>
          <t>Valid UMPay user</t>
        </is>
      </c>
      <c r="H11" s="73" t="inlineStr">
        <is>
          <t>The 2FA Authenticator row should say where it stands, so a second factor can be seen to be on or off</t>
        </is>
      </c>
      <c r="I11" s="73" t="inlineStr">
        <is>
          <t>User is on the Security page</t>
        </is>
      </c>
      <c r="J11" s="73" t="inlineStr">
        <is>
          <t>The 2FA Authenticator row said "Connected"</t>
        </is>
      </c>
      <c r="K11" s="74" t="inlineStr">
        <is>
          <t>PASS</t>
        </is>
      </c>
      <c r="L11" s="74" t="inlineStr">
        <is>
          <t>HIGH</t>
        </is>
      </c>
      <c r="M11" s="58" t="inlineStr">
        <is>
          <t>KIMA</t>
        </is>
      </c>
      <c r="N11" s="103" t="n">
        <v>46273</v>
      </c>
      <c r="O11" s="53" t="inlineStr">
        <is>
          <t>Window OS</t>
        </is>
      </c>
      <c r="P11" s="76" t="inlineStr">
        <is>
          <t>Chromium</t>
        </is>
      </c>
      <c r="Q11" s="70" t="n"/>
      <c r="R11" s="70" t="n"/>
      <c r="S11" s="77" t="inlineStr">
        <is>
          <t>Run</t>
        </is>
      </c>
    </row>
    <row r="12" ht="15.75" customHeight="1" s="51">
      <c r="A12" s="67" t="inlineStr">
        <is>
          <t>TC_004</t>
        </is>
      </c>
      <c r="B12" s="79" t="inlineStr">
        <is>
          <t>Security Password</t>
        </is>
      </c>
      <c r="C12" s="72" t="inlineStr">
        <is>
          <t>Login Password opens the form that changes it</t>
        </is>
      </c>
      <c r="D12" s="70" t="inlineStr">
        <is>
          <t>Positive</t>
        </is>
      </c>
      <c r="E12" s="71" t="inlineStr">
        <is>
          <t>User is on the Security page</t>
        </is>
      </c>
      <c r="F12" s="72" t="inlineStr">
        <is>
          <t>-Given I log into the UMPay application with valid email credentials using "&lt;row&gt;" of "&lt;excelSheetName&gt;" of "&lt;excelFileName&gt;"
-When I open the Security page
-And I open "Login Password" from the security page
-Then the form that changes the login password should open</t>
        </is>
      </c>
      <c r="G12" s="72" t="inlineStr">
        <is>
          <t>Valid UMPay user</t>
        </is>
      </c>
      <c r="H12" s="73" t="inlineStr">
        <is>
          <t>Login Password should open the change form, asking for the current password, a new one and a confirmation</t>
        </is>
      </c>
      <c r="I12" s="73" t="inlineStr">
        <is>
          <t>User is on the Change Password form</t>
        </is>
      </c>
      <c r="J12" s="73" t="inlineStr">
        <is>
          <t>Opened /securities/password, asking for current_password, new_password and confirm_password</t>
        </is>
      </c>
      <c r="K12" s="74" t="inlineStr">
        <is>
          <t>PASS</t>
        </is>
      </c>
      <c r="L12" s="74" t="inlineStr">
        <is>
          <t>HIGH</t>
        </is>
      </c>
      <c r="M12" s="58" t="inlineStr">
        <is>
          <t>KIMA</t>
        </is>
      </c>
      <c r="N12" s="103" t="n">
        <v>46273</v>
      </c>
      <c r="O12" s="53" t="inlineStr">
        <is>
          <t>Window OS</t>
        </is>
      </c>
      <c r="P12" s="76" t="inlineStr">
        <is>
          <t>Chromium</t>
        </is>
      </c>
      <c r="Q12" s="70" t="n"/>
      <c r="R12" s="70" t="n"/>
      <c r="S12" s="77" t="inlineStr">
        <is>
          <t>Run</t>
        </is>
      </c>
    </row>
    <row r="13" ht="15.75" customHeight="1" s="51">
      <c r="A13" s="67" t="inlineStr">
        <is>
          <t>TC_005</t>
        </is>
      </c>
      <c r="B13" s="79" t="inlineStr">
        <is>
          <t>Security Password</t>
        </is>
      </c>
      <c r="C13" s="72" t="inlineStr">
        <is>
          <t>Everything the password form asks for is hidden as it is typed</t>
        </is>
      </c>
      <c r="D13" s="70" t="inlineStr">
        <is>
          <t>Positive</t>
        </is>
      </c>
      <c r="E13" s="71" t="inlineStr">
        <is>
          <t>User is on the Change Password form</t>
        </is>
      </c>
      <c r="F13" s="72" t="inlineStr">
        <is>
          <t>-Given I log into the UMPay application with valid email credentials using "&lt;row&gt;" of "&lt;excelSheetName&gt;" of "&lt;excelFileName&gt;"
-When I open the Security page
-And I open "Login Password" from the security page
-Then everything it asks for should be hidden as it is typed</t>
        </is>
      </c>
      <c r="G13" s="72" t="inlineStr">
        <is>
          <t>Valid UMPay user</t>
        </is>
      </c>
      <c r="H13" s="73" t="inlineStr">
        <is>
          <t>Every box on the form should hide what is typed into it</t>
        </is>
      </c>
      <c r="I13" s="73" t="inlineStr">
        <is>
          <t>User is on the Change Password form</t>
        </is>
      </c>
      <c r="J13" s="73" t="inlineStr">
        <is>
          <t>All 3 boxes were password boxes, hiding what is typed into them</t>
        </is>
      </c>
      <c r="K13" s="74" t="inlineStr">
        <is>
          <t>PASS</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Security Password</t>
        </is>
      </c>
      <c r="C14" s="72" t="inlineStr">
        <is>
          <t>A password change with nothing filled in is refused</t>
        </is>
      </c>
      <c r="D14" s="70" t="inlineStr">
        <is>
          <t>Negative</t>
        </is>
      </c>
      <c r="E14" s="71" t="inlineStr">
        <is>
          <t>User is on the Change Password form</t>
        </is>
      </c>
      <c r="F14" s="72" t="inlineStr">
        <is>
          <t>-Given I log into the UMPay application with valid email credentials using "&lt;row&gt;" of "&lt;excelSheetName&gt;" of "&lt;excelFileName&gt;"
-When I open the Security page
-And I open "Login Password" from the security page
-And I fill the password form from "&lt;row&gt;" of "&lt;excelSheetName&gt;" of "&lt;excelFileName&gt;"
-And I save the change
-Then the change should be refused</t>
        </is>
      </c>
      <c r="G14" s="72" t="inlineStr">
        <is>
          <t>Current EMPTY, New EMPTY, Confirm EMPTY</t>
        </is>
      </c>
      <c r="H14" s="73" t="inlineStr">
        <is>
          <t>Saving an empty form should be refused and leave the password as it is</t>
        </is>
      </c>
      <c r="I14" s="73" t="inlineStr">
        <is>
          <t>The account still signs in with the password it had</t>
        </is>
      </c>
      <c r="J14" s="73" t="inlineStr">
        <is>
          <t>Saving an empty form was refused - the run stayed on the form and nothing was saved</t>
        </is>
      </c>
      <c r="K14" s="74" t="inlineStr">
        <is>
          <t>PASS</t>
        </is>
      </c>
      <c r="L14" s="74" t="inlineStr">
        <is>
          <t>HIGH</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Security Password</t>
        </is>
      </c>
      <c r="C15" s="72" t="inlineStr">
        <is>
          <t>A password change with no new password is refused</t>
        </is>
      </c>
      <c r="D15" s="70" t="inlineStr">
        <is>
          <t>Negative</t>
        </is>
      </c>
      <c r="E15" s="71" t="inlineStr">
        <is>
          <t>User is on the Change Password form</t>
        </is>
      </c>
      <c r="F15" s="72" t="inlineStr">
        <is>
          <t>-Given I log into the UMPay application with valid email credentials using "&lt;row&gt;" of "&lt;excelSheetName&gt;" of "&lt;excelFileName&gt;"
-When I open the Security page
-And I open "Login Password" from the security page
-And I fill the password form from "&lt;row&gt;" of "&lt;excelSheetName&gt;" of "&lt;excelFileName&gt;"
-And I save the change
-Then the change should be refused</t>
        </is>
      </c>
      <c r="G15" s="72" t="inlineStr">
        <is>
          <t>Current 12345678, New EMPTY, Confirm SomethingElse123</t>
        </is>
      </c>
      <c r="H15" s="73" t="inlineStr">
        <is>
          <t>Saving with no new password should be refused and leave the password as it is</t>
        </is>
      </c>
      <c r="I15" s="73" t="inlineStr">
        <is>
          <t>The account still signs in with the password it had</t>
        </is>
      </c>
      <c r="J15" s="73" t="inlineStr">
        <is>
          <t>Saving with the current password filled and no new one was refused - the run stayed on the form and nothing was saved</t>
        </is>
      </c>
      <c r="K15" s="74" t="inlineStr">
        <is>
          <t>PASS</t>
        </is>
      </c>
      <c r="L15" s="74" t="inlineStr">
        <is>
          <t>HIGH</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Security PIN</t>
        </is>
      </c>
      <c r="C16" s="72" t="inlineStr">
        <is>
          <t>PIN Code opens the form that changes it, and says what a PIN may be</t>
        </is>
      </c>
      <c r="D16" s="70" t="inlineStr">
        <is>
          <t>Positive</t>
        </is>
      </c>
      <c r="E16" s="71" t="inlineStr">
        <is>
          <t>User is on the Security page</t>
        </is>
      </c>
      <c r="F16" s="72" t="inlineStr">
        <is>
          <t>-Given I log into the UMPay application with valid email credentials using "&lt;row&gt;" of "&lt;excelSheetName&gt;" of "&lt;excelFileName&gt;"
-When I open the Security page
-And I open "PIN Code" from the security page
-Then the form that changes the PIN should open, saying what a PIN may be</t>
        </is>
      </c>
      <c r="G16" s="72" t="inlineStr">
        <is>
          <t>Valid UMPay user</t>
        </is>
      </c>
      <c r="H16" s="73" t="inlineStr">
        <is>
          <t>PIN Code should open the change form, taking 4 digits a box and stating what a PIN may be</t>
        </is>
      </c>
      <c r="I16" s="73" t="inlineStr">
        <is>
          <t>User is on the Change PIN form</t>
        </is>
      </c>
      <c r="J16" s="73" t="inlineStr">
        <is>
          <t>Opened /securities/pin, taking 4 digits a box and saying "Enter 4-digit PIN, The PIN code can not be the all same numbers or using a sequential numbers"</t>
        </is>
      </c>
      <c r="K16" s="74" t="inlineStr">
        <is>
          <t>PASS</t>
        </is>
      </c>
      <c r="L16" s="74" t="inlineStr">
        <is>
          <t>HIGH</t>
        </is>
      </c>
      <c r="M16" s="58" t="inlineStr">
        <is>
          <t>KIMA</t>
        </is>
      </c>
      <c r="N16" s="103" t="n">
        <v>46273</v>
      </c>
      <c r="O16" s="53" t="inlineStr">
        <is>
          <t>Window OS</t>
        </is>
      </c>
      <c r="P16" s="76" t="inlineStr">
        <is>
          <t>Chromium</t>
        </is>
      </c>
      <c r="Q16" s="70" t="n"/>
      <c r="R16" s="70" t="n"/>
      <c r="S16" s="77" t="inlineStr">
        <is>
          <t>Run</t>
        </is>
      </c>
    </row>
    <row r="17" ht="15.75" customHeight="1" s="51">
      <c r="A17" s="67" t="inlineStr">
        <is>
          <t>TC_009</t>
        </is>
      </c>
      <c r="B17" s="79" t="inlineStr">
        <is>
          <t>Security PIN</t>
        </is>
      </c>
      <c r="C17" s="72" t="inlineStr">
        <is>
          <t>A PIN change with nothing filled in is refused</t>
        </is>
      </c>
      <c r="D17" s="70" t="inlineStr">
        <is>
          <t>Negative</t>
        </is>
      </c>
      <c r="E17" s="71" t="inlineStr">
        <is>
          <t>User is on the Change PIN form</t>
        </is>
      </c>
      <c r="F17" s="72" t="inlineStr">
        <is>
          <t>-Given I log into the UMPay application with valid email credentials using "&lt;row&gt;" of "&lt;excelSheetName&gt;" of "&lt;excelFileName&gt;"
-When I open the Security page
-And I open "PIN Code" from the security page
-And I fill the PIN form from "&lt;row&gt;" of "&lt;excelSheetName&gt;" of "&lt;excelFileName&gt;"
-And I save the change
-Then the change should be refused</t>
        </is>
      </c>
      <c r="G17" s="72" t="inlineStr">
        <is>
          <t>Current EMPTY, New EMPTY, Confirm EMPTY</t>
        </is>
      </c>
      <c r="H17" s="73" t="inlineStr">
        <is>
          <t>Saving an empty form should be refused and leave the PIN as it is</t>
        </is>
      </c>
      <c r="I17" s="73" t="inlineStr">
        <is>
          <t>The account still has the PIN it had</t>
        </is>
      </c>
      <c r="J17" s="73" t="inlineStr">
        <is>
          <t>Saving an empty form was refused - the run stayed on the form and nothing was saved</t>
        </is>
      </c>
      <c r="K17" s="74" t="inlineStr">
        <is>
          <t>PASS</t>
        </is>
      </c>
      <c r="L17" s="74" t="inlineStr">
        <is>
          <t>HIGH</t>
        </is>
      </c>
      <c r="M17" s="58" t="inlineStr">
        <is>
          <t>KIMA</t>
        </is>
      </c>
      <c r="N17" s="103" t="n">
        <v>46273</v>
      </c>
      <c r="O17" s="53" t="inlineStr">
        <is>
          <t>Window OS</t>
        </is>
      </c>
      <c r="P17" s="76" t="inlineStr">
        <is>
          <t>Chromium</t>
        </is>
      </c>
      <c r="Q17" s="70" t="n"/>
      <c r="R17" s="70" t="n"/>
      <c r="S17" s="77" t="inlineStr">
        <is>
          <t>Run</t>
        </is>
      </c>
    </row>
    <row r="18" ht="15.75" customHeight="1" s="51">
      <c r="A18" s="67" t="inlineStr">
        <is>
          <t>TC_010</t>
        </is>
      </c>
      <c r="B18" s="79" t="inlineStr">
        <is>
          <t>Security PIN</t>
        </is>
      </c>
      <c r="C18" s="72" t="inlineStr">
        <is>
          <t>A PIN change whose confirmation does not match is refused</t>
        </is>
      </c>
      <c r="D18" s="70" t="inlineStr">
        <is>
          <t>Negative</t>
        </is>
      </c>
      <c r="E18" s="71" t="inlineStr">
        <is>
          <t>User is on the Change PIN form</t>
        </is>
      </c>
      <c r="F18" s="72" t="inlineStr">
        <is>
          <t>-Given I log into the UMPay application with valid email credentials using "&lt;row&gt;" of "&lt;excelSheetName&gt;" of "&lt;excelFileName&gt;"
-When I open the Security page
-And I open "PIN Code" from the security page
-And I fill the PIN form from "&lt;row&gt;" of "&lt;excelSheetName&gt;" of "&lt;excelFileName&gt;"
-And I save the change
-Then the change should be refused</t>
        </is>
      </c>
      <c r="G18" s="72" t="inlineStr">
        <is>
          <t>Current 1111, New 1234, Confirm 4321</t>
        </is>
      </c>
      <c r="H18" s="73" t="inlineStr">
        <is>
          <t>A new PIN mistyped in the confirm box should be refused and leave the PIN as it is</t>
        </is>
      </c>
      <c r="I18" s="73" t="inlineStr">
        <is>
          <t>The account still has the PIN it had</t>
        </is>
      </c>
      <c r="J18" s="73" t="inlineStr">
        <is>
          <t>New 1234 against a confirm of 4321 was refused - the run stayed on the form and the PIN was unchanged</t>
        </is>
      </c>
      <c r="K18" s="74" t="inlineStr">
        <is>
          <t>PASS</t>
        </is>
      </c>
      <c r="L18" s="74" t="inlineStr">
        <is>
          <t>HIGH</t>
        </is>
      </c>
      <c r="M18" s="58" t="inlineStr">
        <is>
          <t>KIMA</t>
        </is>
      </c>
      <c r="N18" s="103" t="n">
        <v>46273</v>
      </c>
      <c r="O18" s="53" t="inlineStr">
        <is>
          <t>Window OS</t>
        </is>
      </c>
      <c r="P18" s="76" t="inlineStr">
        <is>
          <t>Chromium</t>
        </is>
      </c>
      <c r="Q18" s="70" t="n"/>
      <c r="R18" s="70" t="n"/>
      <c r="S18" s="77" t="inlineStr">
        <is>
          <t>Run</t>
        </is>
      </c>
    </row>
    <row r="19" ht="15.75" customHeight="1" s="51">
      <c r="A19" s="67" t="inlineStr">
        <is>
          <t>TC_011</t>
        </is>
      </c>
      <c r="B19" s="79" t="inlineStr">
        <is>
          <t>Security PIN</t>
        </is>
      </c>
      <c r="C19" s="72" t="inlineStr">
        <is>
          <t>A PIN made of one digit repeated is refused, as the page requires</t>
        </is>
      </c>
      <c r="D19" s="70" t="inlineStr">
        <is>
          <t>Negative</t>
        </is>
      </c>
      <c r="E19" s="71" t="inlineStr">
        <is>
          <t>User is on the Change PIN form</t>
        </is>
      </c>
      <c r="F19" s="72" t="inlineStr">
        <is>
          <t>-Given I log into the UMPay application with valid email credentials using "&lt;row&gt;" of "&lt;excelSheetName&gt;" of "&lt;excelFileName&gt;"
-When I open the Security page
-And I open "PIN Code" from the security page
-And I fill the PIN form from "&lt;row&gt;" of "&lt;excelSheetName&gt;" of "&lt;excelFileName&gt;"
-And I save the change
-Then the PIN should be refused, as the page requires</t>
        </is>
      </c>
      <c r="G19" s="72" t="inlineStr">
        <is>
          <t>Current 1111, New 1111, Confirm 1111 - the PIN already set, so being accepted changes nothing</t>
        </is>
      </c>
      <c r="H19" s="73" t="inlineStr">
        <is>
          <t>The page states that a PIN may not be all the same numbers, so a repeated digit should be refused</t>
        </is>
      </c>
      <c r="I19" s="73" t="inlineStr">
        <is>
          <t>The account still has the PIN it had</t>
        </is>
      </c>
      <c r="J19" s="73" t="inlineStr">
        <is>
          <t>DEFECT - the PIN form took 1111, a PIN of one digit repeated, answered "Updated successfully" and left for the Wallets page, though the form itself says "The PIN code can not be the all same numbers or using a sequential numbers". The PIN submitted was the one the account already had, so nothing about this account changed</t>
        </is>
      </c>
      <c r="K19" s="74" t="inlineStr">
        <is>
          <t>FAIL</t>
        </is>
      </c>
      <c r="L19" s="74" t="inlineStr">
        <is>
          <t>HIGH</t>
        </is>
      </c>
      <c r="M19" s="58" t="inlineStr">
        <is>
          <t>KIMA</t>
        </is>
      </c>
      <c r="N19" s="103" t="n">
        <v>46273</v>
      </c>
      <c r="O19" s="53" t="inlineStr">
        <is>
          <t>Window OS</t>
        </is>
      </c>
      <c r="P19" s="76" t="inlineStr">
        <is>
          <t>Chromium</t>
        </is>
      </c>
      <c r="Q19" s="70" t="n"/>
      <c r="R19" s="70" t="n"/>
      <c r="S19" s="77" t="inlineStr">
        <is>
          <t>Run</t>
        </is>
      </c>
    </row>
    <row r="20" ht="15.75" customHeight="1" s="51">
      <c r="A20" s="67" t="inlineStr">
        <is>
          <t>TC_012</t>
        </is>
      </c>
      <c r="B20" s="79" t="inlineStr">
        <is>
          <t>Security 2FA</t>
        </is>
      </c>
      <c r="C20" s="72" t="inlineStr">
        <is>
          <t>The authenticator says it is connected and offers to remove or reset it</t>
        </is>
      </c>
      <c r="D20" s="70" t="inlineStr">
        <is>
          <t>Positive</t>
        </is>
      </c>
      <c r="E20" s="71" t="inlineStr">
        <is>
          <t>User is on the Security page</t>
        </is>
      </c>
      <c r="F20" s="72" t="inlineStr">
        <is>
          <t>-Given I log into the UMPay application with valid email credentials using "&lt;row&gt;" of "&lt;excelSheetName&gt;" of "&lt;excelFileName&gt;"
-When I open the Security page
-And I open "2FA Authenticator" from the security page
-Then the authenticator should be connected and offer to be removed or reset</t>
        </is>
      </c>
      <c r="G20" s="72" t="inlineStr">
        <is>
          <t>Valid UMPay user</t>
        </is>
      </c>
      <c r="H20" s="73" t="inlineStr">
        <is>
          <t>The authenticator page should say it is connected and offer both removing and resetting it</t>
        </is>
      </c>
      <c r="I20" s="73" t="inlineStr">
        <is>
          <t>User is on the 2FA Authenticator page</t>
        </is>
      </c>
      <c r="J20" s="73" t="inlineStr">
        <is>
          <t>Opened /securities/two-factor, saying Connected and offering both "Remove Google Authenticator" and "Reset 2FA Google Authenticator". Neither was pressed</t>
        </is>
      </c>
      <c r="K20" s="74" t="inlineStr">
        <is>
          <t>PASS</t>
        </is>
      </c>
      <c r="L20" s="74" t="inlineStr">
        <is>
          <t>HIGH</t>
        </is>
      </c>
      <c r="M20" s="58" t="inlineStr">
        <is>
          <t>KIMA</t>
        </is>
      </c>
      <c r="N20" s="103" t="n">
        <v>46273</v>
      </c>
      <c r="O20" s="53" t="inlineStr">
        <is>
          <t>Window OS</t>
        </is>
      </c>
      <c r="P20" s="76" t="inlineStr">
        <is>
          <t>Chromium</t>
        </is>
      </c>
      <c r="Q20" s="70" t="n"/>
      <c r="R20" s="70" t="n"/>
      <c r="S20" s="77" t="inlineStr">
        <is>
          <t>Run</t>
        </is>
      </c>
    </row>
    <row r="21" ht="15.75" customHeight="1" s="51">
      <c r="A21" s="67" t="inlineStr">
        <is>
          <t>TC_013</t>
        </is>
      </c>
      <c r="B21" s="79" t="inlineStr">
        <is>
          <t>Security</t>
        </is>
      </c>
      <c r="C21" s="72" t="inlineStr">
        <is>
          <t>Going back from a change form returns to what guards the account</t>
        </is>
      </c>
      <c r="D21" s="70" t="inlineStr">
        <is>
          <t>Positive</t>
        </is>
      </c>
      <c r="E21" s="71" t="inlineStr">
        <is>
          <t>User is on the Change Password form</t>
        </is>
      </c>
      <c r="F21" s="72" t="inlineStr">
        <is>
          <t>-Given I log into the UMPay application with valid email credentials using "&lt;row&gt;" of "&lt;excelSheetName&gt;" of "&lt;excelFileName&gt;"
-When I open the Security page
-And I open "Login Password" from the security page
-Then the form that changes the login password should open
-When I go back to what guards the account
-Then what guards the account should be listed again</t>
        </is>
      </c>
      <c r="G21" s="72" t="inlineStr">
        <is>
          <t>Valid UMPay user</t>
        </is>
      </c>
      <c r="H21" s="73" t="inlineStr">
        <is>
          <t>Going back should return to the security page with all three things still listed</t>
        </is>
      </c>
      <c r="I21" s="73" t="inlineStr">
        <is>
          <t>User is on the Security page</t>
        </is>
      </c>
      <c r="J21" s="73" t="inlineStr">
        <is>
          <t>Going back returned to /securities with all three still listed</t>
        </is>
      </c>
      <c r="K21" s="74" t="inlineStr">
        <is>
          <t>PASS</t>
        </is>
      </c>
      <c r="L21" s="74" t="inlineStr">
        <is>
          <t>MEDIUM</t>
        </is>
      </c>
      <c r="M21" s="58" t="inlineStr">
        <is>
          <t>KIMA</t>
        </is>
      </c>
      <c r="N21" s="103" t="n">
        <v>46273</v>
      </c>
      <c r="O21" s="53" t="inlineStr">
        <is>
          <t>Window OS</t>
        </is>
      </c>
      <c r="P21" s="76" t="inlineStr">
        <is>
          <t>Chromium</t>
        </is>
      </c>
      <c r="Q21" s="70" t="n"/>
      <c r="R21" s="70" t="n"/>
      <c r="S21" s="77" t="inlineStr">
        <is>
          <t>Run</t>
        </is>
      </c>
    </row>
    <row r="22" ht="15.75" customHeight="1" s="51"/>
  </sheetData>
  <dataValidations count="7">
    <dataValidation sqref="K9:K21" showDropDown="0" showInputMessage="0" showErrorMessage="0" allowBlank="1" type="list">
      <formula1>"PASS,FAIL,PENDING"</formula1>
    </dataValidation>
    <dataValidation sqref="P9:P21" showDropDown="0" showInputMessage="0" showErrorMessage="0" allowBlank="1" type="list">
      <formula1>METADATA!$H$2:$H$8</formula1>
    </dataValidation>
    <dataValidation sqref="O9:O21" showDropDown="0" showInputMessage="0" showErrorMessage="0" allowBlank="1" type="list">
      <formula1>METADATA!$J$2:$J$7</formula1>
    </dataValidation>
    <dataValidation sqref="D9:D21" showDropDown="0" showInputMessage="0" showErrorMessage="0" allowBlank="1" type="list">
      <formula1>METADATA!$N$2:$N$3</formula1>
    </dataValidation>
    <dataValidation sqref="B4 M9:M21" showDropDown="0" showInputMessage="0" showErrorMessage="0" allowBlank="1" type="list">
      <formula1>METADATA!$F$2:$F$4</formula1>
    </dataValidation>
    <dataValidation sqref="L9:L21"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 xmlns:r="http://schemas.openxmlformats.org/officeDocument/2006/relationships" ref="S20" r:id="rId12"/>
    <hyperlink xmlns:r="http://schemas.openxmlformats.org/officeDocument/2006/relationships" ref="S21" r:id="rId13"/>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T18"/>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Languages</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46273</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46273</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Languages</t>
        </is>
      </c>
      <c r="C9" s="72" t="inlineStr">
        <is>
          <t>The profile drawer opens the languages</t>
        </is>
      </c>
      <c r="D9" s="70" t="inlineStr">
        <is>
          <t>Positive</t>
        </is>
      </c>
      <c r="E9" s="71" t="inlineStr">
        <is>
          <t>User is signed in</t>
        </is>
      </c>
      <c r="F9" s="72" t="inlineStr">
        <is>
          <t>-Given I log into the UMPay application with valid email credentials using "&lt;row&gt;" of "&lt;excelSheetName&gt;" of "&lt;excelFileName&gt;"
-When I open the Languages page
-Then the languages should be shown</t>
        </is>
      </c>
      <c r="G9" s="72" t="inlineStr">
        <is>
          <t>Valid UMPay user</t>
        </is>
      </c>
      <c r="H9" s="73" t="inlineStr">
        <is>
          <t>The Languages page should open from the profile drawer, offering the languages the account can be read in</t>
        </is>
      </c>
      <c r="I9" s="73" t="inlineStr">
        <is>
          <t>User is on the Languages page</t>
        </is>
      </c>
      <c r="J9" s="73" t="inlineStr">
        <is>
          <t>The drawer opened /v2/languages, offering en, zh-HK and th, with the account on English</t>
        </is>
      </c>
      <c r="K9" s="74" t="inlineStr">
        <is>
          <t>PASS</t>
        </is>
      </c>
      <c r="L9" s="74" t="inlineStr">
        <is>
          <t>HIGH</t>
        </is>
      </c>
      <c r="M9" s="58" t="inlineStr">
        <is>
          <t>KIMA</t>
        </is>
      </c>
      <c r="N9" s="103" t="n">
        <v>46273</v>
      </c>
      <c r="O9" s="53" t="inlineStr">
        <is>
          <t>Window OS</t>
        </is>
      </c>
      <c r="P9" s="76" t="inlineStr">
        <is>
          <t>Chromium</t>
        </is>
      </c>
      <c r="Q9" s="70" t="n"/>
      <c r="R9" s="70" t="n"/>
      <c r="S9" s="77" t="inlineStr">
        <is>
          <t>Run</t>
        </is>
      </c>
    </row>
    <row r="10" ht="15.75" customHeight="1" s="51">
      <c r="A10" s="67" t="inlineStr">
        <is>
          <t>TC_002</t>
        </is>
      </c>
      <c r="B10" s="79" t="inlineStr">
        <is>
          <t>Languages</t>
        </is>
      </c>
      <c r="C10" s="72" t="inlineStr">
        <is>
          <t>The page offers every language the account can be read in</t>
        </is>
      </c>
      <c r="D10" s="70" t="inlineStr">
        <is>
          <t>Positive</t>
        </is>
      </c>
      <c r="E10" s="71" t="inlineStr">
        <is>
          <t>User is on the Languages page</t>
        </is>
      </c>
      <c r="F10" s="72" t="inlineStr">
        <is>
          <t>-Given I log into the UMPay application with valid email credentials using "&lt;row&gt;" of "&lt;excelSheetName&gt;" of "&lt;excelFileName&gt;"
-When I open the Languages page
-Then the languages offered should be "en, zh-HK, th"</t>
        </is>
      </c>
      <c r="G10" s="72" t="inlineStr">
        <is>
          <t>Valid UMPay user</t>
        </is>
      </c>
      <c r="H10" s="73" t="inlineStr">
        <is>
          <t>The page should offer English (en), Chinese (zh-HK) and Thai (th)</t>
        </is>
      </c>
      <c r="I10" s="73" t="inlineStr">
        <is>
          <t>User is on the Languages page</t>
        </is>
      </c>
      <c r="J10" s="73" t="inlineStr">
        <is>
          <t>Offered all 3 - English (en), 繁體中文 (zh-HK) and ไทย (th)</t>
        </is>
      </c>
      <c r="K10" s="74" t="inlineStr">
        <is>
          <t>PASS</t>
        </is>
      </c>
      <c r="L10" s="74" t="inlineStr">
        <is>
          <t>HIGH</t>
        </is>
      </c>
      <c r="M10" s="58" t="inlineStr">
        <is>
          <t>KIMA</t>
        </is>
      </c>
      <c r="N10" s="103" t="n">
        <v>46273</v>
      </c>
      <c r="O10" s="53" t="inlineStr">
        <is>
          <t>Window OS</t>
        </is>
      </c>
      <c r="P10" s="76" t="inlineStr">
        <is>
          <t>Chromium</t>
        </is>
      </c>
      <c r="Q10" s="70" t="n"/>
      <c r="R10" s="70" t="n"/>
      <c r="S10" s="77" t="inlineStr">
        <is>
          <t>Run</t>
        </is>
      </c>
    </row>
    <row r="11" ht="15.75" customHeight="1" s="51">
      <c r="A11" s="67" t="inlineStr">
        <is>
          <t>TC_003</t>
        </is>
      </c>
      <c r="B11" s="79" t="inlineStr">
        <is>
          <t>Languages</t>
        </is>
      </c>
      <c r="C11" s="72" t="inlineStr">
        <is>
          <t>Every language is written in its own script</t>
        </is>
      </c>
      <c r="D11" s="70" t="inlineStr">
        <is>
          <t>Positive</t>
        </is>
      </c>
      <c r="E11" s="71" t="inlineStr">
        <is>
          <t>User is on the Languages page</t>
        </is>
      </c>
      <c r="F11" s="72" t="inlineStr">
        <is>
          <t>-Given I log into the UMPay application with valid email credentials using "&lt;row&gt;" of "&lt;excelSheetName&gt;" of "&lt;excelFileName&gt;"
-When I open the Languages page
-Then every language should be named in its own script</t>
        </is>
      </c>
      <c r="G11" s="72" t="inlineStr">
        <is>
          <t>Valid UMPay user</t>
        </is>
      </c>
      <c r="H11" s="73" t="inlineStr">
        <is>
          <t>Each language should name itself in its own script, so somebody who cannot read the current one can still find theirs</t>
        </is>
      </c>
      <c r="I11" s="73" t="inlineStr">
        <is>
          <t>User is on the Languages page</t>
        </is>
      </c>
      <c r="J11" s="73" t="inlineStr">
        <is>
          <t>Each named itself in its own script - English, 繁體中文, ไทย - so none of them needs English to be found</t>
        </is>
      </c>
      <c r="K11" s="74" t="inlineStr">
        <is>
          <t>PASS</t>
        </is>
      </c>
      <c r="L11" s="74" t="inlineStr">
        <is>
          <t>MEDIUM</t>
        </is>
      </c>
      <c r="M11" s="58" t="inlineStr">
        <is>
          <t>KIMA</t>
        </is>
      </c>
      <c r="N11" s="103" t="n">
        <v>46273</v>
      </c>
      <c r="O11" s="53" t="inlineStr">
        <is>
          <t>Window OS</t>
        </is>
      </c>
      <c r="P11" s="76" t="inlineStr">
        <is>
          <t>Chromium</t>
        </is>
      </c>
      <c r="Q11" s="70" t="n"/>
      <c r="R11" s="70" t="n"/>
      <c r="S11" s="77" t="inlineStr">
        <is>
          <t>Run</t>
        </is>
      </c>
    </row>
    <row r="12" ht="15.75" customHeight="1" s="51">
      <c r="A12" s="67" t="inlineStr">
        <is>
          <t>TC_004</t>
        </is>
      </c>
      <c r="B12" s="79" t="inlineStr">
        <is>
          <t>Languages</t>
        </is>
      </c>
      <c r="C12" s="72" t="inlineStr">
        <is>
          <t>Exactly one language is chosen, and the page says which</t>
        </is>
      </c>
      <c r="D12" s="70" t="inlineStr">
        <is>
          <t>Positive</t>
        </is>
      </c>
      <c r="E12" s="71" t="inlineStr">
        <is>
          <t>User is on the Languages page</t>
        </is>
      </c>
      <c r="F12" s="72" t="inlineStr">
        <is>
          <t>-Given I log into the UMPay application with valid email credentials using "&lt;row&gt;" of "&lt;excelSheetName&gt;" of "&lt;excelFileName&gt;"
-When I open the Languages page
-Then exactly one language should be chosen</t>
        </is>
      </c>
      <c r="G12" s="72" t="inlineStr">
        <is>
          <t>Valid UMPay user</t>
        </is>
      </c>
      <c r="H12" s="73" t="inlineStr">
        <is>
          <t>Exactly one of the three should be chosen, and the page should say which</t>
        </is>
      </c>
      <c r="I12" s="73" t="inlineStr">
        <is>
          <t>User is on the Languages page</t>
        </is>
      </c>
      <c r="J12" s="73" t="inlineStr">
        <is>
          <t>Exactly one was chosen: English (en)</t>
        </is>
      </c>
      <c r="K12" s="74" t="inlineStr">
        <is>
          <t>PASS</t>
        </is>
      </c>
      <c r="L12" s="74" t="inlineStr">
        <is>
          <t>HIGH</t>
        </is>
      </c>
      <c r="M12" s="58" t="inlineStr">
        <is>
          <t>KIMA</t>
        </is>
      </c>
      <c r="N12" s="103" t="n">
        <v>46273</v>
      </c>
      <c r="O12" s="53" t="inlineStr">
        <is>
          <t>Window OS</t>
        </is>
      </c>
      <c r="P12" s="76" t="inlineStr">
        <is>
          <t>Chromium</t>
        </is>
      </c>
      <c r="Q12" s="70" t="n"/>
      <c r="R12" s="70" t="n"/>
      <c r="S12" s="77" t="inlineStr">
        <is>
          <t>Run</t>
        </is>
      </c>
    </row>
    <row r="13" ht="15.75" customHeight="1" s="51">
      <c r="A13" s="67" t="inlineStr">
        <is>
          <t>TC_005</t>
        </is>
      </c>
      <c r="B13" s="79" t="inlineStr">
        <is>
          <t>Languages</t>
        </is>
      </c>
      <c r="C13" s="72" t="inlineStr">
        <is>
          <t>The language is chosen without anything to save</t>
        </is>
      </c>
      <c r="D13" s="70" t="inlineStr">
        <is>
          <t>Positive</t>
        </is>
      </c>
      <c r="E13" s="71" t="inlineStr">
        <is>
          <t>User is on the Languages page</t>
        </is>
      </c>
      <c r="F13" s="72" t="inlineStr">
        <is>
          <t>-Given I log into the UMPay application with valid email credentials using "&lt;row&gt;" of "&lt;excelSheetName&gt;" of "&lt;excelFileName&gt;"
-When I open the Languages page
-Then the page should offer nothing to save</t>
        </is>
      </c>
      <c r="G13" s="72" t="inlineStr">
        <is>
          <t>Valid UMPay user</t>
        </is>
      </c>
      <c r="H13" s="73" t="inlineStr">
        <is>
          <t>The page should offer nothing to save - choosing a language should be the whole of it</t>
        </is>
      </c>
      <c r="I13" s="73" t="inlineStr">
        <is>
          <t>User is on the Languages page</t>
        </is>
      </c>
      <c r="J13" s="73" t="inlineStr">
        <is>
          <t>The page offered nothing to save - choosing a language is the whole of it</t>
        </is>
      </c>
      <c r="K13" s="74" t="inlineStr">
        <is>
          <t>PASS</t>
        </is>
      </c>
      <c r="L13" s="74" t="inlineStr">
        <is>
          <t>MEDIUM</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Languages Switch</t>
        </is>
      </c>
      <c r="C14" s="72" t="inlineStr">
        <is>
          <t>The application can be read in Chinese</t>
        </is>
      </c>
      <c r="D14" s="70" t="inlineStr">
        <is>
          <t>Positive</t>
        </is>
      </c>
      <c r="E14" s="71" t="inlineStr">
        <is>
          <t>User is on the Languages page</t>
        </is>
      </c>
      <c r="F14" s="72" t="inlineStr">
        <is>
          <t>-Given I log into the UMPay application with valid email credentials using "&lt;row&gt;" of "&lt;excelSheetName&gt;" of "&lt;excelFileName&gt;"
-When I open the Languages page
-And I put the language on the one named in "&lt;row&gt;" of "&lt;excelSheetName&gt;" of "&lt;excelFileName&gt;"
-Then the interface should come back in that language
-When I put the language back the way it was
-Then the interface should be back in the language it was in</t>
        </is>
      </c>
      <c r="G14" s="72" t="inlineStr">
        <is>
          <t>Language: zh-HK</t>
        </is>
      </c>
      <c r="H14" s="73" t="inlineStr">
        <is>
          <t>Choosing Chinese should bring the interface back in Chinese, and the account should then be put back on the language it was found on</t>
        </is>
      </c>
      <c r="I14" s="73" t="inlineStr">
        <is>
          <t>The account is back in the language it started in</t>
        </is>
      </c>
      <c r="J14" s="73" t="inlineStr">
        <is>
          <t>Choosing zh-HK brought the interface back in Chinese - the tab read "UMPay | 語言" where in English it read "UMPay | Languages" - and the account was put back on en</t>
        </is>
      </c>
      <c r="K14" s="74" t="inlineStr">
        <is>
          <t>PASS</t>
        </is>
      </c>
      <c r="L14" s="74" t="inlineStr">
        <is>
          <t>HIGH</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Languages Switch</t>
        </is>
      </c>
      <c r="C15" s="72" t="inlineStr">
        <is>
          <t>The application can be read in Thai</t>
        </is>
      </c>
      <c r="D15" s="70" t="inlineStr">
        <is>
          <t>Positive</t>
        </is>
      </c>
      <c r="E15" s="71" t="inlineStr">
        <is>
          <t>User is on the Languages page</t>
        </is>
      </c>
      <c r="F15" s="72" t="inlineStr">
        <is>
          <t>-Given I log into the UMPay application with valid email credentials using "&lt;row&gt;" of "&lt;excelSheetName&gt;" of "&lt;excelFileName&gt;"
-When I open the Languages page
-And I put the language on the one named in "&lt;row&gt;" of "&lt;excelSheetName&gt;" of "&lt;excelFileName&gt;"
-Then the interface should come back in that language
-When I put the language back the way it was
-Then the interface should be back in the language it was in</t>
        </is>
      </c>
      <c r="G15" s="72" t="inlineStr">
        <is>
          <t>Language: th</t>
        </is>
      </c>
      <c r="H15" s="73" t="inlineStr">
        <is>
          <t>Choosing Thai should bring the interface back in Thai, and the account should then be put back on the language it was found on</t>
        </is>
      </c>
      <c r="I15" s="73" t="inlineStr">
        <is>
          <t>The account is back in the language it started in</t>
        </is>
      </c>
      <c r="J15" s="73" t="inlineStr">
        <is>
          <t>Choosing th brought the interface back in Thai, the tab reading in Thai script where in English it read "UMPay | Languages", and the account was put back on en</t>
        </is>
      </c>
      <c r="K15" s="74" t="inlineStr">
        <is>
          <t>PASS</t>
        </is>
      </c>
      <c r="L15" s="74" t="inlineStr">
        <is>
          <t>HIGH</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Languages Switch</t>
        </is>
      </c>
      <c r="C16" s="72" t="inlineStr">
        <is>
          <t>Choosing a language leaves only that language chosen</t>
        </is>
      </c>
      <c r="D16" s="70" t="inlineStr">
        <is>
          <t>Positive</t>
        </is>
      </c>
      <c r="E16" s="71" t="inlineStr">
        <is>
          <t>User is on the Languages page</t>
        </is>
      </c>
      <c r="F16" s="72" t="inlineStr">
        <is>
          <t>-Given I log into the UMPay application with valid email credentials using "&lt;row&gt;" of "&lt;excelSheetName&gt;" of "&lt;excelFileName&gt;"
-When I open the Languages page
-And I put the language on the one named in "&lt;row&gt;" of "&lt;excelSheetName&gt;" of "&lt;excelFileName&gt;"
-Then only that language should be chosen
-When I put the language back the way it was
-Then the interface should be back in the language it was in</t>
        </is>
      </c>
      <c r="G16" s="72" t="inlineStr">
        <is>
          <t>Language: zh-HK</t>
        </is>
      </c>
      <c r="H16" s="73" t="inlineStr">
        <is>
          <t>Only the language just chosen should be chosen, since the application could not act on two</t>
        </is>
      </c>
      <c r="I16" s="73" t="inlineStr">
        <is>
          <t>The account is back in the language it started in</t>
        </is>
      </c>
      <c r="J16" s="73" t="inlineStr">
        <is>
          <t>Choosing zh-HK left only zh-HK chosen, and the account was put back on en</t>
        </is>
      </c>
      <c r="K16" s="74" t="inlineStr">
        <is>
          <t>PASS</t>
        </is>
      </c>
      <c r="L16" s="74" t="inlineStr">
        <is>
          <t>HIGH</t>
        </is>
      </c>
      <c r="M16" s="58" t="inlineStr">
        <is>
          <t>KIMA</t>
        </is>
      </c>
      <c r="N16" s="103" t="n">
        <v>46273</v>
      </c>
      <c r="O16" s="53" t="inlineStr">
        <is>
          <t>Window OS</t>
        </is>
      </c>
      <c r="P16" s="76" t="inlineStr">
        <is>
          <t>Chromium</t>
        </is>
      </c>
      <c r="Q16" s="70" t="n"/>
      <c r="R16" s="70" t="n"/>
      <c r="S16" s="77" t="inlineStr">
        <is>
          <t>Run</t>
        </is>
      </c>
    </row>
    <row r="17" ht="15.75" customHeight="1" s="51">
      <c r="A17" s="67" t="inlineStr">
        <is>
          <t>TC_009</t>
        </is>
      </c>
      <c r="B17" s="79" t="inlineStr">
        <is>
          <t>Languages Switch</t>
        </is>
      </c>
      <c r="C17" s="72" t="inlineStr">
        <is>
          <t>A chosen language is still chosen when the page is opened again</t>
        </is>
      </c>
      <c r="D17" s="70" t="inlineStr">
        <is>
          <t>Positive</t>
        </is>
      </c>
      <c r="E17" s="71" t="inlineStr">
        <is>
          <t>User is on the Languages page</t>
        </is>
      </c>
      <c r="F17" s="72" t="inlineStr">
        <is>
          <t>-Given I log into the UMPay application with valid email credentials using "&lt;row&gt;" of "&lt;excelSheetName&gt;" of "&lt;excelFileName&gt;"
-When I open the Languages page
-And I put the language on the one named in "&lt;row&gt;" of "&lt;excelSheetName&gt;" of "&lt;excelFileName&gt;"
-Then it should still be chosen when the page is opened again
-When I put the language back the way it was
-Then the interface should be back in the language it was in</t>
        </is>
      </c>
      <c r="G17" s="72" t="inlineStr">
        <is>
          <t>Language: zh-HK</t>
        </is>
      </c>
      <c r="H17" s="73" t="inlineStr">
        <is>
          <t>The chosen language should still be chosen when the page is opened again</t>
        </is>
      </c>
      <c r="I17" s="73" t="inlineStr">
        <is>
          <t>The account is back in the language it started in</t>
        </is>
      </c>
      <c r="J17" s="73" t="inlineStr">
        <is>
          <t>zh-HK was still chosen when the page was opened again, and the account was put back on en</t>
        </is>
      </c>
      <c r="K17" s="74" t="inlineStr">
        <is>
          <t>PASS</t>
        </is>
      </c>
      <c r="L17" s="74" t="inlineStr">
        <is>
          <t>HIGH</t>
        </is>
      </c>
      <c r="M17" s="58" t="inlineStr">
        <is>
          <t>KIMA</t>
        </is>
      </c>
      <c r="N17" s="103" t="n">
        <v>46273</v>
      </c>
      <c r="O17" s="53" t="inlineStr">
        <is>
          <t>Window OS</t>
        </is>
      </c>
      <c r="P17" s="76" t="inlineStr">
        <is>
          <t>Chromium</t>
        </is>
      </c>
      <c r="Q17" s="70" t="n"/>
      <c r="R17" s="70" t="n"/>
      <c r="S17" s="77" t="inlineStr">
        <is>
          <t>Run</t>
        </is>
      </c>
    </row>
    <row r="18" ht="15.75" customHeight="1" s="51">
      <c r="A18" s="67" t="inlineStr">
        <is>
          <t>TC_010</t>
        </is>
      </c>
      <c r="B18" s="79" t="inlineStr">
        <is>
          <t>Languages Switch</t>
        </is>
      </c>
      <c r="C18" s="72" t="inlineStr">
        <is>
          <t>The language follows the account onto another page</t>
        </is>
      </c>
      <c r="D18" s="70" t="inlineStr">
        <is>
          <t>Positive</t>
        </is>
      </c>
      <c r="E18" s="71" t="inlineStr">
        <is>
          <t>User is on the Languages page</t>
        </is>
      </c>
      <c r="F18" s="72" t="inlineStr">
        <is>
          <t>-Given I log into the UMPay application with valid email credentials using "&lt;row&gt;" of "&lt;excelSheetName&gt;" of "&lt;excelFileName&gt;"
-When I open the Languages page
-And I put the language on the one named in "&lt;row&gt;" of "&lt;excelSheetName&gt;" of "&lt;excelFileName&gt;"
-And I go to the home page
-Then the interface should still be in that language
-When I put the language back the way it was
-Then the interface should be back in the language it was in</t>
        </is>
      </c>
      <c r="G18" s="72" t="inlineStr">
        <is>
          <t>Language: zh-HK</t>
        </is>
      </c>
      <c r="H18" s="73" t="inlineStr">
        <is>
          <t>The interface should still be in the chosen language on the home page, since the language belongs to the account rather than to the page it was chosen on</t>
        </is>
      </c>
      <c r="I18" s="73" t="inlineStr">
        <is>
          <t>The account is back in the language it started in</t>
        </is>
      </c>
      <c r="J18" s="73" t="inlineStr">
        <is>
          <t>On the home page the tab read "UMPay | 主頁" in zh-HK, so the language belongs to the account rather than to the page it was chosen on, and the account was put back on en</t>
        </is>
      </c>
      <c r="K18" s="74" t="inlineStr">
        <is>
          <t>PASS</t>
        </is>
      </c>
      <c r="L18" s="74" t="inlineStr">
        <is>
          <t>MEDIUM</t>
        </is>
      </c>
      <c r="M18" s="58" t="inlineStr">
        <is>
          <t>KIMA</t>
        </is>
      </c>
      <c r="N18" s="103" t="n">
        <v>46273</v>
      </c>
      <c r="O18" s="53" t="inlineStr">
        <is>
          <t>Window OS</t>
        </is>
      </c>
      <c r="P18" s="76" t="inlineStr">
        <is>
          <t>Chromium</t>
        </is>
      </c>
      <c r="Q18" s="70" t="n"/>
      <c r="R18" s="70" t="n"/>
      <c r="S18" s="77" t="inlineStr">
        <is>
          <t>Run</t>
        </is>
      </c>
    </row>
    <row r="19" ht="15.75" customHeight="1" s="51"/>
    <row r="20" ht="15.75" customHeight="1" s="51"/>
    <row r="21" ht="15.75" customHeight="1" s="51"/>
    <row r="22" ht="15.75" customHeight="1" s="51"/>
  </sheetData>
  <dataValidations count="7">
    <dataValidation sqref="K9:K18" showDropDown="0" showInputMessage="0" showErrorMessage="0" allowBlank="1" type="list">
      <formula1>"PASS,FAIL,PENDING"</formula1>
    </dataValidation>
    <dataValidation sqref="P9:P18" showDropDown="0" showInputMessage="0" showErrorMessage="0" allowBlank="1" type="list">
      <formula1>METADATA!$H$2:$H$8</formula1>
    </dataValidation>
    <dataValidation sqref="O9:O18" showDropDown="0" showInputMessage="0" showErrorMessage="0" allowBlank="1" type="list">
      <formula1>METADATA!$J$2:$J$7</formula1>
    </dataValidation>
    <dataValidation sqref="D9:D18" showDropDown="0" showInputMessage="0" showErrorMessage="0" allowBlank="1" type="list">
      <formula1>METADATA!$N$2:$N$3</formula1>
    </dataValidation>
    <dataValidation sqref="B4 M9:M18" showDropDown="0" showInputMessage="0" showErrorMessage="0" allowBlank="1" type="list">
      <formula1>METADATA!$F$2:$F$4</formula1>
    </dataValidation>
    <dataValidation sqref="L9:L18"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T21"/>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Settings</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46273</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46273</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Settings</t>
        </is>
      </c>
      <c r="C9" s="72" t="inlineStr">
        <is>
          <t>The profile drawer opens the settings</t>
        </is>
      </c>
      <c r="D9" s="70" t="inlineStr">
        <is>
          <t>Positive</t>
        </is>
      </c>
      <c r="E9" s="71" t="inlineStr">
        <is>
          <t>User is signed in</t>
        </is>
      </c>
      <c r="F9" s="72" t="inlineStr">
        <is>
          <t>-Given I log into the UMPay application with valid email credentials using "&lt;row&gt;" of "&lt;excelSheetName&gt;" of "&lt;excelFileName&gt;"
-When I open the Settings page
-Then the settings should be shown</t>
        </is>
      </c>
      <c r="G9" s="72" t="inlineStr">
        <is>
          <t>Valid UMPay user</t>
        </is>
      </c>
      <c r="H9" s="73" t="inlineStr">
        <is>
          <t>The Settings page should open from the profile drawer, listing what can be set</t>
        </is>
      </c>
      <c r="I9" s="73" t="inlineStr">
        <is>
          <t>User is on the Settings page</t>
        </is>
      </c>
      <c r="J9" s="73" t="inlineStr">
        <is>
          <t>The drawer opened /settings, offering Auto Logout, About UMPay, Email and Phone Number</t>
        </is>
      </c>
      <c r="K9" s="74" t="inlineStr">
        <is>
          <t>PASS</t>
        </is>
      </c>
      <c r="L9" s="74" t="inlineStr">
        <is>
          <t>HIGH</t>
        </is>
      </c>
      <c r="M9" s="58" t="inlineStr">
        <is>
          <t>KIMA</t>
        </is>
      </c>
      <c r="N9" s="103" t="n">
        <v>46273</v>
      </c>
      <c r="O9" s="53" t="inlineStr">
        <is>
          <t>Window OS</t>
        </is>
      </c>
      <c r="P9" s="76" t="inlineStr">
        <is>
          <t>Chromium</t>
        </is>
      </c>
      <c r="Q9" s="70" t="n"/>
      <c r="R9" s="70" t="n"/>
      <c r="S9" s="77" t="inlineStr">
        <is>
          <t>Run</t>
        </is>
      </c>
    </row>
    <row r="10" ht="15.75" customHeight="1" s="51">
      <c r="A10" s="67" t="inlineStr">
        <is>
          <t>TC_002</t>
        </is>
      </c>
      <c r="B10" s="79" t="inlineStr">
        <is>
          <t>Settings</t>
        </is>
      </c>
      <c r="C10" s="72" t="inlineStr">
        <is>
          <t>The page offers everything that can be set</t>
        </is>
      </c>
      <c r="D10" s="70" t="inlineStr">
        <is>
          <t>Positive</t>
        </is>
      </c>
      <c r="E10" s="71" t="inlineStr">
        <is>
          <t>User is on the Settings page</t>
        </is>
      </c>
      <c r="F10" s="72" t="inlineStr">
        <is>
          <t>-Given I log into the UMPay application with valid email credentials using "&lt;row&gt;" of "&lt;excelSheetName&gt;" of "&lt;excelFileName&gt;"
-When I open the Settings page
-Then the settings offered should be "Auto Logout, About UMPay, Email, Phone Number"</t>
        </is>
      </c>
      <c r="G10" s="72" t="inlineStr">
        <is>
          <t>Valid UMPay user</t>
        </is>
      </c>
      <c r="H10" s="73" t="inlineStr">
        <is>
          <t>The page should offer Auto Logout, About UMPay, Email and Phone Number</t>
        </is>
      </c>
      <c r="I10" s="73" t="inlineStr">
        <is>
          <t>User is on the Settings page</t>
        </is>
      </c>
      <c r="J10" s="73" t="inlineStr">
        <is>
          <t>Offered all 4 - Auto Logout, About UMPay, Email, Phone Number</t>
        </is>
      </c>
      <c r="K10" s="74" t="inlineStr">
        <is>
          <t>PASS</t>
        </is>
      </c>
      <c r="L10" s="74" t="inlineStr">
        <is>
          <t>HIGH</t>
        </is>
      </c>
      <c r="M10" s="58" t="inlineStr">
        <is>
          <t>KIMA</t>
        </is>
      </c>
      <c r="N10" s="103" t="n">
        <v>46273</v>
      </c>
      <c r="O10" s="53" t="inlineStr">
        <is>
          <t>Window OS</t>
        </is>
      </c>
      <c r="P10" s="76" t="inlineStr">
        <is>
          <t>Chromium</t>
        </is>
      </c>
      <c r="Q10" s="70" t="n"/>
      <c r="R10" s="70" t="n"/>
      <c r="S10" s="77" t="inlineStr">
        <is>
          <t>Run</t>
        </is>
      </c>
    </row>
    <row r="11" ht="15.75" customHeight="1" s="51">
      <c r="A11" s="67" t="inlineStr">
        <is>
          <t>TC_003</t>
        </is>
      </c>
      <c r="B11" s="79" t="inlineStr">
        <is>
          <t>Settings Auto Logout</t>
        </is>
      </c>
      <c r="C11" s="72" t="inlineStr">
        <is>
          <t>Auto Logout says how long the account may sit idle</t>
        </is>
      </c>
      <c r="D11" s="70" t="inlineStr">
        <is>
          <t>Positive</t>
        </is>
      </c>
      <c r="E11" s="71" t="inlineStr">
        <is>
          <t>User is on the Settings page</t>
        </is>
      </c>
      <c r="F11" s="72" t="inlineStr">
        <is>
          <t>-Given I log into the UMPay application with valid email credentials using "&lt;row&gt;" of "&lt;excelSheetName&gt;" of "&lt;excelFileName&gt;"
-When I open the Settings page
-And I open "Auto Logout" from the settings
-Then the auto logout should say how long the account may sit idle</t>
        </is>
      </c>
      <c r="G11" s="72" t="inlineStr">
        <is>
          <t>Valid UMPay user</t>
        </is>
      </c>
      <c r="H11" s="73" t="inlineStr">
        <is>
          <t>Auto Logout should open, saying after how many minutes of sitting still it acts, and offering both Save and Reset</t>
        </is>
      </c>
      <c r="I11" s="73" t="inlineStr">
        <is>
          <t>User is on the Auto Logout page</t>
        </is>
      </c>
      <c r="J11" s="73" t="inlineStr">
        <is>
          <t>Opened /settings/logout: the auto logout is off, set to 31 minutes of sitting still, and offers both Save and Reset</t>
        </is>
      </c>
      <c r="K11" s="74" t="inlineStr">
        <is>
          <t>PASS</t>
        </is>
      </c>
      <c r="L11" s="74" t="inlineStr">
        <is>
          <t>HIGH</t>
        </is>
      </c>
      <c r="M11" s="58" t="inlineStr">
        <is>
          <t>KIMA</t>
        </is>
      </c>
      <c r="N11" s="103" t="n">
        <v>46273</v>
      </c>
      <c r="O11" s="53" t="inlineStr">
        <is>
          <t>Window OS</t>
        </is>
      </c>
      <c r="P11" s="76" t="inlineStr">
        <is>
          <t>Chromium</t>
        </is>
      </c>
      <c r="Q11" s="70" t="n"/>
      <c r="R11" s="70" t="n"/>
      <c r="S11" s="77" t="inlineStr">
        <is>
          <t>Run</t>
        </is>
      </c>
    </row>
    <row r="12" ht="15.75" customHeight="1" s="51">
      <c r="A12" s="67" t="inlineStr">
        <is>
          <t>TC_004</t>
        </is>
      </c>
      <c r="B12" s="79" t="inlineStr">
        <is>
          <t>Settings Auto Logout</t>
        </is>
      </c>
      <c r="C12" s="72" t="inlineStr">
        <is>
          <t>Auto Logout offers to leave an order in flight alone</t>
        </is>
      </c>
      <c r="D12" s="70" t="inlineStr">
        <is>
          <t>Positive</t>
        </is>
      </c>
      <c r="E12" s="71" t="inlineStr">
        <is>
          <t>User is on the Auto Logout page</t>
        </is>
      </c>
      <c r="F12" s="72" t="inlineStr">
        <is>
          <t>-Given I log into the UMPay application with valid email credentials using "&lt;row&gt;" of "&lt;excelSheetName&gt;" of "&lt;excelFileName&gt;"
-When I open the Settings page
-And I open "Auto Logout" from the settings
-Then it should offer to leave an order in flight alone</t>
        </is>
      </c>
      <c r="G12" s="72" t="inlineStr">
        <is>
          <t>Valid UMPay user</t>
        </is>
      </c>
      <c r="H12" s="73" t="inlineStr">
        <is>
          <t>The page should offer to leave an order in flight alone, so nobody is thrown out halfway through paying</t>
        </is>
      </c>
      <c r="I12" s="73" t="inlineStr">
        <is>
          <t>User is on the Auto Logout page</t>
        </is>
      </c>
      <c r="J12" s="73" t="inlineStr">
        <is>
          <t>The page offers "Do not log me out if I have an active order", which is currently on</t>
        </is>
      </c>
      <c r="K12" s="74" t="inlineStr">
        <is>
          <t>PASS</t>
        </is>
      </c>
      <c r="L12" s="74" t="inlineStr">
        <is>
          <t>MEDIUM</t>
        </is>
      </c>
      <c r="M12" s="58" t="inlineStr">
        <is>
          <t>KIMA</t>
        </is>
      </c>
      <c r="N12" s="103" t="n">
        <v>46273</v>
      </c>
      <c r="O12" s="53" t="inlineStr">
        <is>
          <t>Window OS</t>
        </is>
      </c>
      <c r="P12" s="76" t="inlineStr">
        <is>
          <t>Chromium</t>
        </is>
      </c>
      <c r="Q12" s="70" t="n"/>
      <c r="R12" s="70" t="n"/>
      <c r="S12" s="77" t="inlineStr">
        <is>
          <t>Run</t>
        </is>
      </c>
    </row>
    <row r="13" ht="15.75" customHeight="1" s="51">
      <c r="A13" s="67" t="inlineStr">
        <is>
          <t>TC_005</t>
        </is>
      </c>
      <c r="B13" s="79" t="inlineStr">
        <is>
          <t>Settings Auto Logout</t>
        </is>
      </c>
      <c r="C13" s="72" t="inlineStr">
        <is>
          <t>The minutes can be put up and down</t>
        </is>
      </c>
      <c r="D13" s="70" t="inlineStr">
        <is>
          <t>Positive</t>
        </is>
      </c>
      <c r="E13" s="71" t="inlineStr">
        <is>
          <t>User is on the Auto Logout page</t>
        </is>
      </c>
      <c r="F13" s="72" t="inlineStr">
        <is>
          <t>-Given I log into the UMPay application with valid email credentials using "&lt;row&gt;" of "&lt;excelSheetName&gt;" of "&lt;excelFileName&gt;"
-When I open the Settings page
-And I open "Auto Logout" from the settings
-And I put the minutes up
-Then the minutes should have gone up
-When I put the minutes down
-Then the minutes should be back where they started</t>
        </is>
      </c>
      <c r="G13" s="72" t="inlineStr">
        <is>
          <t>Valid UMPay user</t>
        </is>
      </c>
      <c r="H13" s="73" t="inlineStr">
        <is>
          <t>Pressing + should put the minutes up and pressing - should bring them back to where they started</t>
        </is>
      </c>
      <c r="I13" s="73" t="inlineStr">
        <is>
          <t>The minutes are back where they started, and nothing is saved</t>
        </is>
      </c>
      <c r="J13" s="73" t="inlineStr">
        <is>
          <t>One press of + took the minutes from 31 to 33 - the stepper moves in twos - and one press of - brought them back to 31</t>
        </is>
      </c>
      <c r="K13" s="74" t="inlineStr">
        <is>
          <t>PASS</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Settings Auto Logout</t>
        </is>
      </c>
      <c r="C14" s="72" t="inlineStr">
        <is>
          <t>Leaving the auto logout without saving leaves it as it was</t>
        </is>
      </c>
      <c r="D14" s="70" t="inlineStr">
        <is>
          <t>Negative</t>
        </is>
      </c>
      <c r="E14" s="71" t="inlineStr">
        <is>
          <t>The minutes have been changed and not saved</t>
        </is>
      </c>
      <c r="F14" s="72" t="inlineStr">
        <is>
          <t>-Given I log into the UMPay application with valid email credentials using "&lt;row&gt;" of "&lt;excelSheetName&gt;" of "&lt;excelFileName&gt;"
-When I open the Settings page
-And I open "Auto Logout" from the settings
-And I put the minutes up
-And I leave the auto logout without saving
-Then the auto logout should be as it was</t>
        </is>
      </c>
      <c r="G14" s="72" t="inlineStr">
        <is>
          <t>Valid UMPay user</t>
        </is>
      </c>
      <c r="H14" s="73" t="inlineStr">
        <is>
          <t>Leaving the page without saving should leave the auto logout on the minutes the account was already on</t>
        </is>
      </c>
      <c r="I14" s="73" t="inlineStr">
        <is>
          <t>The account keeps the auto logout it had</t>
        </is>
      </c>
      <c r="J14" s="73" t="inlineStr">
        <is>
          <t>The minutes were put up and the page left without saving; opened again it read 31 minutes, still off, exactly as it was found</t>
        </is>
      </c>
      <c r="K14" s="74" t="inlineStr">
        <is>
          <t>PASS</t>
        </is>
      </c>
      <c r="L14" s="74" t="inlineStr">
        <is>
          <t>HIGH</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Settings About</t>
        </is>
      </c>
      <c r="C15" s="72" t="inlineStr">
        <is>
          <t>About UMPay carries the terms and where UMPay can be followed</t>
        </is>
      </c>
      <c r="D15" s="70" t="inlineStr">
        <is>
          <t>Positive</t>
        </is>
      </c>
      <c r="E15" s="71" t="inlineStr">
        <is>
          <t>User is on the Settings page</t>
        </is>
      </c>
      <c r="F15" s="72" t="inlineStr">
        <is>
          <t>-Given I log into the UMPay application with valid email credentials using "&lt;row&gt;" of "&lt;excelSheetName&gt;" of "&lt;excelFileName&gt;"
-When I open the Settings page
-And I open "About UMPay" from the settings
-Then it should offer "Terms and Conditions, Facebook, Instagram, X, Youtube"</t>
        </is>
      </c>
      <c r="G15" s="72" t="inlineStr">
        <is>
          <t>Valid UMPay user</t>
        </is>
      </c>
      <c r="H15" s="73" t="inlineStr">
        <is>
          <t>About UMPay should carry the Terms and Conditions and the places UMPay can be followed - Facebook, Instagram, X and Youtube</t>
        </is>
      </c>
      <c r="I15" s="73" t="inlineStr">
        <is>
          <t>User is on the About UMPay page</t>
        </is>
      </c>
      <c r="J15" s="73" t="inlineStr">
        <is>
          <t>Opened /settings/about carrying the Terms and Conditions and all four places - Facebook, Instagram, X and Youtube</t>
        </is>
      </c>
      <c r="K15" s="74" t="inlineStr">
        <is>
          <t>PASS</t>
        </is>
      </c>
      <c r="L15" s="74" t="inlineStr">
        <is>
          <t>MEDIUM</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Settings Email</t>
        </is>
      </c>
      <c r="C16" s="72" t="inlineStr">
        <is>
          <t>Changing the email asks for the new address and a captcha</t>
        </is>
      </c>
      <c r="D16" s="70" t="inlineStr">
        <is>
          <t>Positive</t>
        </is>
      </c>
      <c r="E16" s="71" t="inlineStr">
        <is>
          <t>User is on the Settings page</t>
        </is>
      </c>
      <c r="F16" s="72" t="inlineStr">
        <is>
          <t>-Given I log into the UMPay application with valid email credentials using "&lt;row&gt;" of "&lt;excelSheetName&gt;" of "&lt;excelFileName&gt;"
-When I open the Settings page
-And I open "Email" from the settings
-Then the form should ask for "email, captcha"</t>
        </is>
      </c>
      <c r="G16" s="72" t="inlineStr">
        <is>
          <t>Valid UMPay user</t>
        </is>
      </c>
      <c r="H16" s="73" t="inlineStr">
        <is>
          <t>The form should ask for the new address and a captcha, and say that a code will be sent to verify it</t>
        </is>
      </c>
      <c r="I16" s="73" t="inlineStr">
        <is>
          <t>User is on the New Email form</t>
        </is>
      </c>
      <c r="J16" s="73" t="inlineStr">
        <is>
          <t>Opened /settings/email asking for email and captcha, saying a code will be sent to the new address to verify it</t>
        </is>
      </c>
      <c r="K16" s="74" t="inlineStr">
        <is>
          <t>PASS</t>
        </is>
      </c>
      <c r="L16" s="74" t="inlineStr">
        <is>
          <t>HIGH</t>
        </is>
      </c>
      <c r="M16" s="58" t="inlineStr">
        <is>
          <t>KIMA</t>
        </is>
      </c>
      <c r="N16" s="103" t="n">
        <v>46273</v>
      </c>
      <c r="O16" s="53" t="inlineStr">
        <is>
          <t>Window OS</t>
        </is>
      </c>
      <c r="P16" s="76" t="inlineStr">
        <is>
          <t>Chromium</t>
        </is>
      </c>
      <c r="Q16" s="70" t="n"/>
      <c r="R16" s="70" t="n"/>
      <c r="S16" s="77" t="inlineStr">
        <is>
          <t>Run</t>
        </is>
      </c>
    </row>
    <row r="17" ht="15.75" customHeight="1" s="51">
      <c r="A17" s="67" t="inlineStr">
        <is>
          <t>TC_009</t>
        </is>
      </c>
      <c r="B17" s="79" t="inlineStr">
        <is>
          <t>Settings Email</t>
        </is>
      </c>
      <c r="C17" s="72" t="inlineStr">
        <is>
          <t>Changing the email is refused when nothing is filled in</t>
        </is>
      </c>
      <c r="D17" s="70" t="inlineStr">
        <is>
          <t>Negative</t>
        </is>
      </c>
      <c r="E17" s="71" t="inlineStr">
        <is>
          <t>User is on the New Email form</t>
        </is>
      </c>
      <c r="F17" s="72" t="inlineStr">
        <is>
          <t>-Given I log into the UMPay application with valid email credentials using "&lt;row&gt;" of "&lt;excelSheetName&gt;" of "&lt;excelFileName&gt;"
-When I open the Settings page
-And I open "Email" from the settings
-And I fill the email form from "&lt;row&gt;" of "&lt;excelSheetName&gt;" of "&lt;excelFileName&gt;"
-And I go on from the form
-Then the form should refuse to go on</t>
        </is>
      </c>
      <c r="G17" s="72" t="inlineStr">
        <is>
          <t>Email EMPTY, Captcha EMPTY</t>
        </is>
      </c>
      <c r="H17" s="73" t="inlineStr">
        <is>
          <t>Going on from an empty form should be refused, and no code should be sent</t>
        </is>
      </c>
      <c r="I17" s="73" t="inlineStr">
        <is>
          <t>The account keeps the address it had</t>
        </is>
      </c>
      <c r="J17" s="73" t="inlineStr">
        <is>
          <t>Next was refused on an empty form - the run stayed on it, and no code was sent</t>
        </is>
      </c>
      <c r="K17" s="74" t="inlineStr">
        <is>
          <t>PASS</t>
        </is>
      </c>
      <c r="L17" s="74" t="inlineStr">
        <is>
          <t>HIGH</t>
        </is>
      </c>
      <c r="M17" s="58" t="inlineStr">
        <is>
          <t>KIMA</t>
        </is>
      </c>
      <c r="N17" s="103" t="n">
        <v>46273</v>
      </c>
      <c r="O17" s="53" t="inlineStr">
        <is>
          <t>Window OS</t>
        </is>
      </c>
      <c r="P17" s="76" t="inlineStr">
        <is>
          <t>Chromium</t>
        </is>
      </c>
      <c r="Q17" s="70" t="n"/>
      <c r="R17" s="70" t="n"/>
      <c r="S17" s="77" t="inlineStr">
        <is>
          <t>Run</t>
        </is>
      </c>
    </row>
    <row r="18" ht="15.75" customHeight="1" s="51">
      <c r="A18" s="67" t="inlineStr">
        <is>
          <t>TC_010</t>
        </is>
      </c>
      <c r="B18" s="79" t="inlineStr">
        <is>
          <t>Settings Email</t>
        </is>
      </c>
      <c r="C18" s="72" t="inlineStr">
        <is>
          <t>Changing the email is refused when the address is not an address</t>
        </is>
      </c>
      <c r="D18" s="70" t="inlineStr">
        <is>
          <t>Negative</t>
        </is>
      </c>
      <c r="E18" s="71" t="inlineStr">
        <is>
          <t>User is on the New Email form</t>
        </is>
      </c>
      <c r="F18" s="72" t="inlineStr">
        <is>
          <t>-Given I log into the UMPay application with valid email credentials using "&lt;row&gt;" of "&lt;excelSheetName&gt;" of "&lt;excelFileName&gt;"
-When I open the Settings page
-And I open "Email" from the settings
-And I fill the email form from "&lt;row&gt;" of "&lt;excelSheetName&gt;" of "&lt;excelFileName&gt;"
-And I go on from the form
-Then the form should refuse to go on</t>
        </is>
      </c>
      <c r="G18" s="72" t="inlineStr">
        <is>
          <t>Email not-an-address, Captcha EMPTY</t>
        </is>
      </c>
      <c r="H18" s="73" t="inlineStr">
        <is>
          <t>Going on with something that is not an address should be refused, and no code should be sent</t>
        </is>
      </c>
      <c r="I18" s="73" t="inlineStr">
        <is>
          <t>The account keeps the address it had</t>
        </is>
      </c>
      <c r="J18" s="73" t="inlineStr">
        <is>
          <t>Next was refused for "not-an-address" - the run stayed on the form, and no code was sent</t>
        </is>
      </c>
      <c r="K18" s="74" t="inlineStr">
        <is>
          <t>PASS</t>
        </is>
      </c>
      <c r="L18" s="74" t="inlineStr">
        <is>
          <t>HIGH</t>
        </is>
      </c>
      <c r="M18" s="58" t="inlineStr">
        <is>
          <t>KIMA</t>
        </is>
      </c>
      <c r="N18" s="103" t="n">
        <v>46273</v>
      </c>
      <c r="O18" s="53" t="inlineStr">
        <is>
          <t>Window OS</t>
        </is>
      </c>
      <c r="P18" s="76" t="inlineStr">
        <is>
          <t>Chromium</t>
        </is>
      </c>
      <c r="Q18" s="70" t="n"/>
      <c r="R18" s="70" t="n"/>
      <c r="S18" s="77" t="inlineStr">
        <is>
          <t>Run</t>
        </is>
      </c>
    </row>
    <row r="19" ht="15.75" customHeight="1" s="51">
      <c r="A19" s="67" t="inlineStr">
        <is>
          <t>TC_011</t>
        </is>
      </c>
      <c r="B19" s="79" t="inlineStr">
        <is>
          <t>Settings Phone</t>
        </is>
      </c>
      <c r="C19" s="72" t="inlineStr">
        <is>
          <t>Changing the phone number asks for a country, a number and a captcha</t>
        </is>
      </c>
      <c r="D19" s="70" t="inlineStr">
        <is>
          <t>Positive</t>
        </is>
      </c>
      <c r="E19" s="71" t="inlineStr">
        <is>
          <t>User is on the Settings page</t>
        </is>
      </c>
      <c r="F19" s="72" t="inlineStr">
        <is>
          <t>-Given I log into the UMPay application with valid email credentials using "&lt;row&gt;" of "&lt;excelSheetName&gt;" of "&lt;excelFileName&gt;"
-When I open the Settings page
-And I open "Phone Number" from the settings
-Then the form should ask for "phoneCountry, phone, captcha"</t>
        </is>
      </c>
      <c r="G19" s="72" t="inlineStr">
        <is>
          <t>Valid UMPay user</t>
        </is>
      </c>
      <c r="H19" s="73" t="inlineStr">
        <is>
          <t>The form should ask for a country, a number and a captcha, and say that a code will be sent to verify it</t>
        </is>
      </c>
      <c r="I19" s="73" t="inlineStr">
        <is>
          <t>User is on the New Phone Number form</t>
        </is>
      </c>
      <c r="J19" s="73" t="inlineStr">
        <is>
          <t>Opened /settings/phone-number asking for phoneCountry, phone and captcha, saying a code will be sent to the new number to verify it</t>
        </is>
      </c>
      <c r="K19" s="74" t="inlineStr">
        <is>
          <t>PASS</t>
        </is>
      </c>
      <c r="L19" s="74" t="inlineStr">
        <is>
          <t>HIGH</t>
        </is>
      </c>
      <c r="M19" s="58" t="inlineStr">
        <is>
          <t>KIMA</t>
        </is>
      </c>
      <c r="N19" s="103" t="n">
        <v>46273</v>
      </c>
      <c r="O19" s="53" t="inlineStr">
        <is>
          <t>Window OS</t>
        </is>
      </c>
      <c r="P19" s="76" t="inlineStr">
        <is>
          <t>Chromium</t>
        </is>
      </c>
      <c r="Q19" s="70" t="n"/>
      <c r="R19" s="70" t="n"/>
      <c r="S19" s="77" t="inlineStr">
        <is>
          <t>Run</t>
        </is>
      </c>
    </row>
    <row r="20" ht="15.75" customHeight="1" s="51">
      <c r="A20" s="67" t="inlineStr">
        <is>
          <t>TC_012</t>
        </is>
      </c>
      <c r="B20" s="79" t="inlineStr">
        <is>
          <t>Settings Phone</t>
        </is>
      </c>
      <c r="C20" s="72" t="inlineStr">
        <is>
          <t>Changing the phone number is refused when nothing is filled in</t>
        </is>
      </c>
      <c r="D20" s="70" t="inlineStr">
        <is>
          <t>Negative</t>
        </is>
      </c>
      <c r="E20" s="71" t="inlineStr">
        <is>
          <t>User is on the New Phone Number form</t>
        </is>
      </c>
      <c r="F20" s="72" t="inlineStr">
        <is>
          <t>-Given I log into the UMPay application with valid email credentials using "&lt;row&gt;" of "&lt;excelSheetName&gt;" of "&lt;excelFileName&gt;"
-When I open the Settings page
-And I open "Phone Number" from the settings
-And I fill the phone form from "&lt;row&gt;" of "&lt;excelSheetName&gt;" of "&lt;excelFileName&gt;"
-And I go on from the form
-Then the form should refuse to go on</t>
        </is>
      </c>
      <c r="G20" s="72" t="inlineStr">
        <is>
          <t>Phone EMPTY, Captcha EMPTY</t>
        </is>
      </c>
      <c r="H20" s="73" t="inlineStr">
        <is>
          <t>Going on from an empty form should be refused, and no code should be sent</t>
        </is>
      </c>
      <c r="I20" s="73" t="inlineStr">
        <is>
          <t>The account keeps the number it had</t>
        </is>
      </c>
      <c r="J20" s="73" t="inlineStr">
        <is>
          <t>Next was refused on an empty form - the run stayed on it, and no code was sent</t>
        </is>
      </c>
      <c r="K20" s="74" t="inlineStr">
        <is>
          <t>PASS</t>
        </is>
      </c>
      <c r="L20" s="74" t="inlineStr">
        <is>
          <t>HIGH</t>
        </is>
      </c>
      <c r="M20" s="58" t="inlineStr">
        <is>
          <t>KIMA</t>
        </is>
      </c>
      <c r="N20" s="103" t="n">
        <v>46273</v>
      </c>
      <c r="O20" s="53" t="inlineStr">
        <is>
          <t>Window OS</t>
        </is>
      </c>
      <c r="P20" s="76" t="inlineStr">
        <is>
          <t>Chromium</t>
        </is>
      </c>
      <c r="Q20" s="70" t="n"/>
      <c r="R20" s="70" t="n"/>
      <c r="S20" s="77" t="inlineStr">
        <is>
          <t>Run</t>
        </is>
      </c>
    </row>
    <row r="21" ht="15.75" customHeight="1" s="51">
      <c r="A21" s="67" t="inlineStr">
        <is>
          <t>TC_013</t>
        </is>
      </c>
      <c r="B21" s="79" t="inlineStr">
        <is>
          <t>Settings</t>
        </is>
      </c>
      <c r="C21" s="72" t="inlineStr">
        <is>
          <t>Going back from a setting returns to the settings</t>
        </is>
      </c>
      <c r="D21" s="70" t="inlineStr">
        <is>
          <t>Positive</t>
        </is>
      </c>
      <c r="E21" s="71" t="inlineStr">
        <is>
          <t>User is on one of the settings pages</t>
        </is>
      </c>
      <c r="F21" s="72" t="inlineStr">
        <is>
          <t>-Given I log into the UMPay application with valid email credentials using "&lt;row&gt;" of "&lt;excelSheetName&gt;" of "&lt;excelFileName&gt;"
-When I open the Settings page
-And I open "About UMPay" from the settings
-When I go back to the settings
-Then the settings should be listed again</t>
        </is>
      </c>
      <c r="G21" s="72" t="inlineStr">
        <is>
          <t>Valid UMPay user</t>
        </is>
      </c>
      <c r="H21" s="73" t="inlineStr">
        <is>
          <t>Going back should return to the settings with all four still listed</t>
        </is>
      </c>
      <c r="I21" s="73" t="inlineStr">
        <is>
          <t>User is on the Settings page</t>
        </is>
      </c>
      <c r="J21" s="73" t="inlineStr">
        <is>
          <t>Going back returned to /settings with all four still listed</t>
        </is>
      </c>
      <c r="K21" s="74" t="inlineStr">
        <is>
          <t>PASS</t>
        </is>
      </c>
      <c r="L21" s="74" t="inlineStr">
        <is>
          <t>MEDIUM</t>
        </is>
      </c>
      <c r="M21" s="58" t="inlineStr">
        <is>
          <t>KIMA</t>
        </is>
      </c>
      <c r="N21" s="103" t="n">
        <v>46273</v>
      </c>
      <c r="O21" s="53" t="inlineStr">
        <is>
          <t>Window OS</t>
        </is>
      </c>
      <c r="P21" s="76" t="inlineStr">
        <is>
          <t>Chromium</t>
        </is>
      </c>
      <c r="Q21" s="70" t="n"/>
      <c r="R21" s="70" t="n"/>
      <c r="S21" s="77" t="inlineStr">
        <is>
          <t>Run</t>
        </is>
      </c>
    </row>
    <row r="22" ht="15.75" customHeight="1" s="51"/>
  </sheetData>
  <dataValidations count="7">
    <dataValidation sqref="K9:K21" showDropDown="0" showInputMessage="0" showErrorMessage="0" allowBlank="1" type="list">
      <formula1>"PASS,FAIL,PENDING"</formula1>
    </dataValidation>
    <dataValidation sqref="P9:P21" showDropDown="0" showInputMessage="0" showErrorMessage="0" allowBlank="1" type="list">
      <formula1>METADATA!$H$2:$H$8</formula1>
    </dataValidation>
    <dataValidation sqref="O9:O21" showDropDown="0" showInputMessage="0" showErrorMessage="0" allowBlank="1" type="list">
      <formula1>METADATA!$J$2:$J$7</formula1>
    </dataValidation>
    <dataValidation sqref="D9:D21" showDropDown="0" showInputMessage="0" showErrorMessage="0" allowBlank="1" type="list">
      <formula1>METADATA!$N$2:$N$3</formula1>
    </dataValidation>
    <dataValidation sqref="B4 M9:M21" showDropDown="0" showInputMessage="0" showErrorMessage="0" allowBlank="1" type="list">
      <formula1>METADATA!$F$2:$F$4</formula1>
    </dataValidation>
    <dataValidation sqref="L9:L21"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 xmlns:r="http://schemas.openxmlformats.org/officeDocument/2006/relationships" ref="S20" r:id="rId12"/>
    <hyperlink xmlns:r="http://schemas.openxmlformats.org/officeDocument/2006/relationships" ref="S21" r:id="rId13"/>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T19"/>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Document Verification</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46273</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46273</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Document Verification</t>
        </is>
      </c>
      <c r="C9" s="72" t="inlineStr">
        <is>
          <t>The profile drawer opens the account's document verification</t>
        </is>
      </c>
      <c r="D9" s="70" t="inlineStr">
        <is>
          <t>Positive</t>
        </is>
      </c>
      <c r="E9" s="71" t="inlineStr">
        <is>
          <t>User is signed in</t>
        </is>
      </c>
      <c r="F9" s="72" t="inlineStr">
        <is>
          <t>-Given I log into the UMPay application with valid email credentials using "&lt;row&gt;" of "&lt;excelSheetName&gt;" of "&lt;excelFileName&gt;"
-When I open the Document Verification
-Then the document verification should be shown</t>
        </is>
      </c>
      <c r="G9" s="72" t="inlineStr">
        <is>
          <t>Valid UMPay user</t>
        </is>
      </c>
      <c r="H9" s="73" t="inlineStr">
        <is>
          <t>The profile drawer should open the document verification, showing what the account was verified on</t>
        </is>
      </c>
      <c r="I9" s="73" t="inlineStr">
        <is>
          <t>The document verification is open</t>
        </is>
      </c>
      <c r="J9" s="73" t="inlineStr">
        <is>
          <t>The drawer opened the document verification over the home page, showing 13 details - Phone Number, Email, Country of Issue, First Name, Last Name, Document Type, National ID, National ID Expiry Date, Position, Occupation, Annual Income, Address, Date of Birth</t>
        </is>
      </c>
      <c r="K9" s="74" t="inlineStr">
        <is>
          <t>PASS</t>
        </is>
      </c>
      <c r="L9" s="74" t="inlineStr">
        <is>
          <t>HIGH</t>
        </is>
      </c>
      <c r="M9" s="58" t="inlineStr">
        <is>
          <t>KIMA</t>
        </is>
      </c>
      <c r="N9" s="103" t="n">
        <v>46273</v>
      </c>
      <c r="O9" s="53" t="inlineStr">
        <is>
          <t>Window OS</t>
        </is>
      </c>
      <c r="P9" s="76" t="inlineStr">
        <is>
          <t>Chromium</t>
        </is>
      </c>
      <c r="Q9" s="70" t="n"/>
      <c r="R9" s="70" t="n"/>
      <c r="S9" s="77" t="inlineStr">
        <is>
          <t>Run</t>
        </is>
      </c>
    </row>
    <row r="10" ht="15.75" customHeight="1" s="51">
      <c r="A10" s="67" t="inlineStr">
        <is>
          <t>TC_002</t>
        </is>
      </c>
      <c r="B10" s="79" t="inlineStr">
        <is>
          <t>Document Verification</t>
        </is>
      </c>
      <c r="C10" s="72" t="inlineStr">
        <is>
          <t>The drawer says where the account stands</t>
        </is>
      </c>
      <c r="D10" s="70" t="inlineStr">
        <is>
          <t>Positive</t>
        </is>
      </c>
      <c r="E10" s="71" t="inlineStr">
        <is>
          <t>User is signed in</t>
        </is>
      </c>
      <c r="F10" s="72" t="inlineStr">
        <is>
          <t>-Given I log into the UMPay application with valid email credentials using "&lt;row&gt;" of "&lt;excelSheetName&gt;" of "&lt;excelFileName&gt;"
-When I open the Document Verification
-Then the drawer should say where the account stands</t>
        </is>
      </c>
      <c r="G10" s="72" t="inlineStr">
        <is>
          <t>Valid UMPay user</t>
        </is>
      </c>
      <c r="H10" s="73" t="inlineStr">
        <is>
          <t>The profile drawer should say where the account stands without anything being opened</t>
        </is>
      </c>
      <c r="I10" s="73" t="inlineStr">
        <is>
          <t>The document verification is open</t>
        </is>
      </c>
      <c r="J10" s="73" t="inlineStr">
        <is>
          <t>The drawer says the account is "Verified"</t>
        </is>
      </c>
      <c r="K10" s="74" t="inlineStr">
        <is>
          <t>PASS</t>
        </is>
      </c>
      <c r="L10" s="74" t="inlineStr">
        <is>
          <t>HIGH</t>
        </is>
      </c>
      <c r="M10" s="58" t="inlineStr">
        <is>
          <t>KIMA</t>
        </is>
      </c>
      <c r="N10" s="103" t="n">
        <v>46273</v>
      </c>
      <c r="O10" s="53" t="inlineStr">
        <is>
          <t>Window OS</t>
        </is>
      </c>
      <c r="P10" s="76" t="inlineStr">
        <is>
          <t>Chromium</t>
        </is>
      </c>
      <c r="Q10" s="70" t="n"/>
      <c r="R10" s="70" t="n"/>
      <c r="S10" s="77" t="inlineStr">
        <is>
          <t>Run</t>
        </is>
      </c>
    </row>
    <row r="11" ht="15.75" customHeight="1" s="51">
      <c r="A11" s="67" t="inlineStr">
        <is>
          <t>TC_003</t>
        </is>
      </c>
      <c r="B11" s="79" t="inlineStr">
        <is>
          <t>Document Verification</t>
        </is>
      </c>
      <c r="C11" s="72" t="inlineStr">
        <is>
          <t>The dialog names the person the account belongs to</t>
        </is>
      </c>
      <c r="D11" s="70" t="inlineStr">
        <is>
          <t>Positive</t>
        </is>
      </c>
      <c r="E11" s="71" t="inlineStr">
        <is>
          <t>The document verification is open</t>
        </is>
      </c>
      <c r="F11" s="72" t="inlineStr">
        <is>
          <t>-Given I log into the UMPay application with valid email credentials using "&lt;row&gt;" of "&lt;excelSheetName&gt;" of "&lt;excelFileName&gt;"
-When I open the Document Verification
-Then it should carry "First Name, Last Name, Date of Birth"</t>
        </is>
      </c>
      <c r="G11" s="72" t="inlineStr">
        <is>
          <t>Valid UMPay user</t>
        </is>
      </c>
      <c r="H11" s="73" t="inlineStr">
        <is>
          <t>The dialog should carry the First Name, Last Name and Date of Birth, none of them blank</t>
        </is>
      </c>
      <c r="I11" s="73" t="inlineStr">
        <is>
          <t>The document verification is open</t>
        </is>
      </c>
      <c r="J11" s="73" t="inlineStr">
        <is>
          <t>First Name = Miles, Last Name = Morales, Date of Birth = 1972-04-21</t>
        </is>
      </c>
      <c r="K11" s="74" t="inlineStr">
        <is>
          <t>PASS</t>
        </is>
      </c>
      <c r="L11" s="74" t="inlineStr">
        <is>
          <t>HIGH</t>
        </is>
      </c>
      <c r="M11" s="58" t="inlineStr">
        <is>
          <t>KIMA</t>
        </is>
      </c>
      <c r="N11" s="103" t="n">
        <v>46273</v>
      </c>
      <c r="O11" s="53" t="inlineStr">
        <is>
          <t>Window OS</t>
        </is>
      </c>
      <c r="P11" s="76" t="inlineStr">
        <is>
          <t>Chromium</t>
        </is>
      </c>
      <c r="Q11" s="70" t="n"/>
      <c r="R11" s="70" t="n"/>
      <c r="S11" s="77" t="inlineStr">
        <is>
          <t>Run</t>
        </is>
      </c>
    </row>
    <row r="12" ht="15.75" customHeight="1" s="51">
      <c r="A12" s="67" t="inlineStr">
        <is>
          <t>TC_004</t>
        </is>
      </c>
      <c r="B12" s="79" t="inlineStr">
        <is>
          <t>Document Verification</t>
        </is>
      </c>
      <c r="C12" s="72" t="inlineStr">
        <is>
          <t>The dialog names the document the account is verified on</t>
        </is>
      </c>
      <c r="D12" s="70" t="inlineStr">
        <is>
          <t>Positive</t>
        </is>
      </c>
      <c r="E12" s="71" t="inlineStr">
        <is>
          <t>The document verification is open</t>
        </is>
      </c>
      <c r="F12" s="72" t="inlineStr">
        <is>
          <t>-Given I log into the UMPay application with valid email credentials using "&lt;row&gt;" of "&lt;excelSheetName&gt;" of "&lt;excelFileName&gt;"
-When I open the Document Verification
-Then it should carry "Document Type, National ID, National ID Expiry Date"</t>
        </is>
      </c>
      <c r="G12" s="72" t="inlineStr">
        <is>
          <t>Valid UMPay user</t>
        </is>
      </c>
      <c r="H12" s="73" t="inlineStr">
        <is>
          <t>The dialog should carry the Document Type, the National ID and its expiry date, none of them blank</t>
        </is>
      </c>
      <c r="I12" s="73" t="inlineStr">
        <is>
          <t>The document verification is open</t>
        </is>
      </c>
      <c r="J12" s="73" t="inlineStr">
        <is>
          <t>Document Type = National ID, National ID = 82282982, National ID Expiry Date = 2025-10-18</t>
        </is>
      </c>
      <c r="K12" s="74" t="inlineStr">
        <is>
          <t>PASS</t>
        </is>
      </c>
      <c r="L12" s="74" t="inlineStr">
        <is>
          <t>HIGH</t>
        </is>
      </c>
      <c r="M12" s="58" t="inlineStr">
        <is>
          <t>KIMA</t>
        </is>
      </c>
      <c r="N12" s="103" t="n">
        <v>46273</v>
      </c>
      <c r="O12" s="53" t="inlineStr">
        <is>
          <t>Window OS</t>
        </is>
      </c>
      <c r="P12" s="76" t="inlineStr">
        <is>
          <t>Chromium</t>
        </is>
      </c>
      <c r="Q12" s="70" t="n"/>
      <c r="R12" s="70" t="n"/>
      <c r="S12" s="77" t="inlineStr">
        <is>
          <t>Run</t>
        </is>
      </c>
    </row>
    <row r="13" ht="15.75" customHeight="1" s="51">
      <c r="A13" s="67" t="inlineStr">
        <is>
          <t>TC_005</t>
        </is>
      </c>
      <c r="B13" s="79" t="inlineStr">
        <is>
          <t>Document Verification</t>
        </is>
      </c>
      <c r="C13" s="72" t="inlineStr">
        <is>
          <t>The dialog carries the contact details it was verified with</t>
        </is>
      </c>
      <c r="D13" s="70" t="inlineStr">
        <is>
          <t>Positive</t>
        </is>
      </c>
      <c r="E13" s="71" t="inlineStr">
        <is>
          <t>The document verification is open</t>
        </is>
      </c>
      <c r="F13" s="72" t="inlineStr">
        <is>
          <t>-Given I log into the UMPay application with valid email credentials using "&lt;row&gt;" of "&lt;excelSheetName&gt;" of "&lt;excelFileName&gt;"
-When I open the Document Verification
-Then it should carry "Phone Number, Email"</t>
        </is>
      </c>
      <c r="G13" s="72" t="inlineStr">
        <is>
          <t>Valid UMPay user</t>
        </is>
      </c>
      <c r="H13" s="73" t="inlineStr">
        <is>
          <t>The dialog should carry the Phone Number and Email the account was verified with</t>
        </is>
      </c>
      <c r="I13" s="73" t="inlineStr">
        <is>
          <t>The document verification is open</t>
        </is>
      </c>
      <c r="J13" s="73" t="inlineStr">
        <is>
          <t>Phone Number = 855 96443322, Email = lawma195.infinity@gmail.com</t>
        </is>
      </c>
      <c r="K13" s="74" t="inlineStr">
        <is>
          <t>PASS</t>
        </is>
      </c>
      <c r="L13" s="74" t="inlineStr">
        <is>
          <t>MEDIUM</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Document Verification</t>
        </is>
      </c>
      <c r="C14" s="72" t="inlineStr">
        <is>
          <t>The dialog carries what the account holder does and where they live</t>
        </is>
      </c>
      <c r="D14" s="70" t="inlineStr">
        <is>
          <t>Positive</t>
        </is>
      </c>
      <c r="E14" s="71" t="inlineStr">
        <is>
          <t>The document verification is open</t>
        </is>
      </c>
      <c r="F14" s="72" t="inlineStr">
        <is>
          <t>-Given I log into the UMPay application with valid email credentials using "&lt;row&gt;" of "&lt;excelSheetName&gt;" of "&lt;excelFileName&gt;"
-When I open the Document Verification
-Then it should carry "Country of Issue, Address, Position, Occupation, Annual Income"</t>
        </is>
      </c>
      <c r="G14" s="72" t="inlineStr">
        <is>
          <t>Valid UMPay user</t>
        </is>
      </c>
      <c r="H14" s="73" t="inlineStr">
        <is>
          <t>The dialog should carry the Country of Issue, Address, Position, Occupation and Annual Income</t>
        </is>
      </c>
      <c r="I14" s="73" t="inlineStr">
        <is>
          <t>The document verification is open</t>
        </is>
      </c>
      <c r="J14" s="73" t="inlineStr">
        <is>
          <t>Country of Issue = Cambodia, Address = Street 123 Phnom Penh, Position = Manager, Occupation = Software Engineer, Annual Income = 6464</t>
        </is>
      </c>
      <c r="K14" s="74" t="inlineStr">
        <is>
          <t>PASS</t>
        </is>
      </c>
      <c r="L14" s="74" t="inlineStr">
        <is>
          <t>MEDIUM</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Document Verification</t>
        </is>
      </c>
      <c r="C15" s="72" t="inlineStr">
        <is>
          <t>Nothing the dialog shows is blank</t>
        </is>
      </c>
      <c r="D15" s="70" t="inlineStr">
        <is>
          <t>Positive</t>
        </is>
      </c>
      <c r="E15" s="71" t="inlineStr">
        <is>
          <t>The document verification is open</t>
        </is>
      </c>
      <c r="F15" s="72" t="inlineStr">
        <is>
          <t>-Given I log into the UMPay application with valid email credentials using "&lt;row&gt;" of "&lt;excelSheetName&gt;" of "&lt;excelFileName&gt;"
-When I open the Document Verification
-Then nothing it shows should be blank</t>
        </is>
      </c>
      <c r="G15" s="72" t="inlineStr">
        <is>
          <t>Valid UMPay user</t>
        </is>
      </c>
      <c r="H15" s="73" t="inlineStr">
        <is>
          <t>Every label the dialog shows should carry a value, so nobody is left guessing whether a detail is missing or the account was verified without it</t>
        </is>
      </c>
      <c r="I15" s="73" t="inlineStr">
        <is>
          <t>The document verification is open</t>
        </is>
      </c>
      <c r="J15" s="73" t="inlineStr">
        <is>
          <t>All 13 details carried a value, none of them blank</t>
        </is>
      </c>
      <c r="K15" s="74" t="inlineStr">
        <is>
          <t>PASS</t>
        </is>
      </c>
      <c r="L15" s="74" t="inlineStr">
        <is>
          <t>HIGH</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Document Verification</t>
        </is>
      </c>
      <c r="C16" s="72" t="inlineStr">
        <is>
          <t>All three pictures the verification was granted on are there</t>
        </is>
      </c>
      <c r="D16" s="70" t="inlineStr">
        <is>
          <t>Positive</t>
        </is>
      </c>
      <c r="E16" s="71" t="inlineStr">
        <is>
          <t>The document verification is open</t>
        </is>
      </c>
      <c r="F16" s="72" t="inlineStr">
        <is>
          <t>-Given I log into the UMPay application with valid email credentials using "&lt;row&gt;" of "&lt;excelSheetName&gt;" of "&lt;excelFileName&gt;"
-When I open the Document Verification
-Then all three pictures should be there, one under each caption</t>
        </is>
      </c>
      <c r="G16" s="72" t="inlineStr">
        <is>
          <t>Valid UMPay user</t>
        </is>
      </c>
      <c r="H16" s="73" t="inlineStr">
        <is>
          <t>The front page, the back page and the selfie with the document should each be there, one picture under each caption</t>
        </is>
      </c>
      <c r="I16" s="73" t="inlineStr">
        <is>
          <t>The document verification is open</t>
        </is>
      </c>
      <c r="J16" s="73" t="inlineStr">
        <is>
          <t>Three captions - Front Page, Back Page, Selfie with document - with a picture under each</t>
        </is>
      </c>
      <c r="K16" s="74" t="inlineStr">
        <is>
          <t>PASS</t>
        </is>
      </c>
      <c r="L16" s="74" t="inlineStr">
        <is>
          <t>HIGH</t>
        </is>
      </c>
      <c r="M16" s="58" t="inlineStr">
        <is>
          <t>KIMA</t>
        </is>
      </c>
      <c r="N16" s="103" t="n">
        <v>46273</v>
      </c>
      <c r="O16" s="53" t="inlineStr">
        <is>
          <t>Window OS</t>
        </is>
      </c>
      <c r="P16" s="76" t="inlineStr">
        <is>
          <t>Chromium</t>
        </is>
      </c>
      <c r="Q16" s="70" t="n"/>
      <c r="R16" s="70" t="n"/>
      <c r="S16" s="77" t="inlineStr">
        <is>
          <t>Run</t>
        </is>
      </c>
    </row>
    <row r="17" ht="15.75" customHeight="1" s="51">
      <c r="A17" s="67" t="inlineStr">
        <is>
          <t>TC_009</t>
        </is>
      </c>
      <c r="B17" s="79" t="inlineStr">
        <is>
          <t>Document Verification</t>
        </is>
      </c>
      <c r="C17" s="72" t="inlineStr">
        <is>
          <t>The document the account is verified on has not expired</t>
        </is>
      </c>
      <c r="D17" s="70" t="inlineStr">
        <is>
          <t>Negative</t>
        </is>
      </c>
      <c r="E17" s="71" t="inlineStr">
        <is>
          <t>The document verification is open</t>
        </is>
      </c>
      <c r="F17" s="72" t="inlineStr">
        <is>
          <t>-Given I log into the UMPay application with valid email credentials using "&lt;row&gt;" of "&lt;excelSheetName&gt;" of "&lt;excelFileName&gt;"
-When I open the Document Verification
-Then the document it is verified on should not have expired</t>
        </is>
      </c>
      <c r="G17" s="72" t="inlineStr">
        <is>
          <t>Valid UMPay user</t>
        </is>
      </c>
      <c r="H17" s="73" t="inlineStr">
        <is>
          <t>The expiry date on the document the account is verified on should not have passed - an account verified on an expired document is verified on nothing</t>
        </is>
      </c>
      <c r="I17" s="73" t="inlineStr">
        <is>
          <t>The document verification is open</t>
        </is>
      </c>
      <c r="J17" s="73" t="inlineStr">
        <is>
          <t>DEFECT - the account is "Verified" on a National ID that expired on 2025-10-18, 325 days before this run. The document standing behind everything the account is allowed to do has run out, and neither the drawer nor the dialog says so</t>
        </is>
      </c>
      <c r="K17" s="74" t="inlineStr">
        <is>
          <t>FAIL</t>
        </is>
      </c>
      <c r="L17" s="74" t="inlineStr">
        <is>
          <t>HIGH</t>
        </is>
      </c>
      <c r="M17" s="58" t="inlineStr">
        <is>
          <t>KIMA</t>
        </is>
      </c>
      <c r="N17" s="103" t="n">
        <v>46273</v>
      </c>
      <c r="O17" s="53" t="inlineStr">
        <is>
          <t>Window OS</t>
        </is>
      </c>
      <c r="P17" s="76" t="inlineStr">
        <is>
          <t>Chromium</t>
        </is>
      </c>
      <c r="Q17" s="70" t="n"/>
      <c r="R17" s="70" t="n"/>
      <c r="S17" s="77" t="inlineStr">
        <is>
          <t>Run</t>
        </is>
      </c>
    </row>
    <row r="18" ht="15.75" customHeight="1" s="51">
      <c r="A18" s="67" t="inlineStr">
        <is>
          <t>TC_010</t>
        </is>
      </c>
      <c r="B18" s="79" t="inlineStr">
        <is>
          <t>Document Verification</t>
        </is>
      </c>
      <c r="C18" s="72" t="inlineStr">
        <is>
          <t>The dialog closes and gives back the page it was opened over</t>
        </is>
      </c>
      <c r="D18" s="70" t="inlineStr">
        <is>
          <t>Positive</t>
        </is>
      </c>
      <c r="E18" s="71" t="inlineStr">
        <is>
          <t>The document verification is open</t>
        </is>
      </c>
      <c r="F18" s="72" t="inlineStr">
        <is>
          <t>-Given I log into the UMPay application with valid email credentials using "&lt;row&gt;" of "&lt;excelSheetName&gt;" of "&lt;excelFileName&gt;"
-When I open the Document Verification
-And I close the document verification
-Then it should be gone, and the page underneath should still be there</t>
        </is>
      </c>
      <c r="G18" s="72" t="inlineStr">
        <is>
          <t>Valid UMPay user</t>
        </is>
      </c>
      <c r="H18" s="73" t="inlineStr">
        <is>
          <t>Closing the dialog should leave the account on the page it was opened over</t>
        </is>
      </c>
      <c r="I18" s="73" t="inlineStr">
        <is>
          <t>The dialog is closed</t>
        </is>
      </c>
      <c r="J18" s="73" t="inlineStr">
        <is>
          <t>Closing the dialog left the account on the home page it was opened over</t>
        </is>
      </c>
      <c r="K18" s="74" t="inlineStr">
        <is>
          <t>PASS</t>
        </is>
      </c>
      <c r="L18" s="74" t="inlineStr">
        <is>
          <t>MEDIUM</t>
        </is>
      </c>
      <c r="M18" s="58" t="inlineStr">
        <is>
          <t>KIMA</t>
        </is>
      </c>
      <c r="N18" s="103" t="n">
        <v>46273</v>
      </c>
      <c r="O18" s="53" t="inlineStr">
        <is>
          <t>Window OS</t>
        </is>
      </c>
      <c r="P18" s="76" t="inlineStr">
        <is>
          <t>Chromium</t>
        </is>
      </c>
      <c r="Q18" s="70" t="n"/>
      <c r="R18" s="70" t="n"/>
      <c r="S18" s="77" t="inlineStr">
        <is>
          <t>Run</t>
        </is>
      </c>
    </row>
    <row r="19" ht="15.75" customHeight="1" s="51">
      <c r="A19" s="67" t="inlineStr">
        <is>
          <t>TC_011</t>
        </is>
      </c>
      <c r="B19" s="79" t="inlineStr">
        <is>
          <t>Document Verification</t>
        </is>
      </c>
      <c r="C19" s="72" t="inlineStr">
        <is>
          <t>A new account has a document still to submit, and is not verified</t>
        </is>
      </c>
      <c r="D19" s="70" t="inlineStr">
        <is>
          <t>Positive</t>
        </is>
      </c>
      <c r="E19" s="71" t="inlineStr">
        <is>
          <t>A newly registered account that has never submitted a document</t>
        </is>
      </c>
      <c r="F19" s="72" t="inlineStr">
        <is>
          <t>-Given I log into the UMPay application with valid email credentials using "&lt;row&gt;" of "&lt;excelSheetName&gt;" of "&lt;excelFileName&gt;"
-When I open the Document Verification
-Then the account should still have a document to submit
-And the form should ask for a document and its pictures</t>
        </is>
      </c>
      <c r="G19" s="72" t="inlineStr">
        <is>
          <t>Newly registered UMPay user - row 2 of the sheet</t>
        </is>
      </c>
      <c r="H19" s="73" t="inlineStr">
        <is>
          <t>The drawer should say the account still has to verify rather than saying it is verified, and should lead to the form that submits a document, which should ask for the document, its expiry and its pictures</t>
        </is>
      </c>
      <c r="I19" s="73" t="inlineStr">
        <is>
          <t>The account is still unverified and nothing has been submitted</t>
        </is>
      </c>
      <c r="J19" s="73" t="inlineStr">
        <is>
          <t>On an account registered through the ordinary registration flow and never verified, the drawer says "Verify Now" rather than "Verified" and leads to /kyc rather than to the details dialog. The form asks for the document type, its number and expiry, the name, gender, date of birth, country, occupation, position, annual income, phone and email, takes 5 pictures (.jpg, .jpeg, .png, .webp, .pdf, .doc) and offers to submit them. Nothing was submitted</t>
        </is>
      </c>
      <c r="K19" s="74" t="inlineStr">
        <is>
          <t>PASS</t>
        </is>
      </c>
      <c r="L19" s="74" t="inlineStr">
        <is>
          <t>HIGH</t>
        </is>
      </c>
      <c r="M19" s="58" t="inlineStr">
        <is>
          <t>KIMA</t>
        </is>
      </c>
      <c r="N19" s="103" t="n">
        <v>46273</v>
      </c>
      <c r="O19" s="53" t="inlineStr">
        <is>
          <t>Window OS</t>
        </is>
      </c>
      <c r="P19" s="76" t="inlineStr">
        <is>
          <t>Chromium</t>
        </is>
      </c>
      <c r="Q19" s="70" t="n"/>
      <c r="R19" s="70" t="n"/>
      <c r="S19" s="77" t="inlineStr">
        <is>
          <t>Run</t>
        </is>
      </c>
    </row>
    <row r="20" ht="15.75" customHeight="1" s="51"/>
    <row r="21" ht="15.75" customHeight="1" s="51"/>
    <row r="22" ht="15.75" customHeight="1" s="51"/>
  </sheetData>
  <dataValidations count="7">
    <dataValidation sqref="K9:K19" showDropDown="0" showInputMessage="0" showErrorMessage="0" allowBlank="1" type="list">
      <formula1>"PASS,FAIL,PENDING"</formula1>
    </dataValidation>
    <dataValidation sqref="P9:P19" showDropDown="0" showInputMessage="0" showErrorMessage="0" allowBlank="1" type="list">
      <formula1>METADATA!$H$2:$H$8</formula1>
    </dataValidation>
    <dataValidation sqref="O9:O19" showDropDown="0" showInputMessage="0" showErrorMessage="0" allowBlank="1" type="list">
      <formula1>METADATA!$J$2:$J$7</formula1>
    </dataValidation>
    <dataValidation sqref="D9:D19" showDropDown="0" showInputMessage="0" showErrorMessage="0" allowBlank="1" type="list">
      <formula1>METADATA!$N$2:$N$3</formula1>
    </dataValidation>
    <dataValidation sqref="B4 M9:M19" showDropDown="0" showInputMessage="0" showErrorMessage="0" allowBlank="1" type="list">
      <formula1>METADATA!$F$2:$F$4</formula1>
    </dataValidation>
    <dataValidation sqref="L9:L19"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T18"/>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QR Code</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46273</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46273</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QR Code</t>
        </is>
      </c>
      <c r="C9" s="72" t="inlineStr">
        <is>
          <t>The QR code page draws the account's code</t>
        </is>
      </c>
      <c r="D9" s="70" t="inlineStr">
        <is>
          <t>Positive</t>
        </is>
      </c>
      <c r="E9" s="71" t="inlineStr">
        <is>
          <t>User is signed in</t>
        </is>
      </c>
      <c r="F9" s="72" t="inlineStr">
        <is>
          <t>-Given I log into the UMPay application with valid email credentials using "&lt;row&gt;" of "&lt;excelSheetName&gt;" of "&lt;excelFileName&gt;"
-When I open the QR code page
-Then the account's QR code should be drawn</t>
        </is>
      </c>
      <c r="G9" s="72" t="inlineStr">
        <is>
          <t>Valid UMPay user</t>
        </is>
      </c>
      <c r="H9" s="73" t="inlineStr">
        <is>
          <t>The QR code page should open and draw the account's own code, large enough to be scanned</t>
        </is>
      </c>
      <c r="I9" s="73" t="inlineStr">
        <is>
          <t>User is on the QR code page</t>
        </is>
      </c>
      <c r="J9" s="73" t="inlineStr">
        <is>
          <t>The page opened at /qr-code with the code drawn 198x200</t>
        </is>
      </c>
      <c r="K9" s="74" t="inlineStr">
        <is>
          <t>PASS</t>
        </is>
      </c>
      <c r="L9" s="74" t="inlineStr">
        <is>
          <t>HIGH</t>
        </is>
      </c>
      <c r="M9" s="58" t="inlineStr">
        <is>
          <t>KIMA</t>
        </is>
      </c>
      <c r="N9" s="103" t="n">
        <v>46273</v>
      </c>
      <c r="O9" s="53" t="inlineStr">
        <is>
          <t>Window OS</t>
        </is>
      </c>
      <c r="P9" s="76" t="inlineStr">
        <is>
          <t>Chromium</t>
        </is>
      </c>
      <c r="Q9" s="70" t="n"/>
      <c r="R9" s="70" t="n"/>
      <c r="S9" s="77" t="inlineStr">
        <is>
          <t>Run</t>
        </is>
      </c>
    </row>
    <row r="10" ht="15.75" customHeight="1" s="51">
      <c r="A10" s="67" t="inlineStr">
        <is>
          <t>TC_002</t>
        </is>
      </c>
      <c r="B10" s="79" t="inlineStr">
        <is>
          <t>QR Code</t>
        </is>
      </c>
      <c r="C10" s="72" t="inlineStr">
        <is>
          <t>The code says which wallet it collects into</t>
        </is>
      </c>
      <c r="D10" s="70" t="inlineStr">
        <is>
          <t>Positive</t>
        </is>
      </c>
      <c r="E10" s="71" t="inlineStr">
        <is>
          <t>User is on the QR code page</t>
        </is>
      </c>
      <c r="F10" s="72" t="inlineStr">
        <is>
          <t>-Given I log into the UMPay application with valid email credentials using "&lt;row&gt;" of "&lt;excelSheetName&gt;" of "&lt;excelFileName&gt;"
-When I open the QR code page
-Then it should say which wallet the code collects into</t>
        </is>
      </c>
      <c r="G10" s="72" t="inlineStr">
        <is>
          <t>Valid UMPay user</t>
        </is>
      </c>
      <c r="H10" s="73" t="inlineStr">
        <is>
          <t>The page should name the wallet the code collects into, so whoever scans it knows which money they are sending</t>
        </is>
      </c>
      <c r="I10" s="73" t="inlineStr">
        <is>
          <t>User is on the QR code page</t>
        </is>
      </c>
      <c r="J10" s="73" t="inlineStr">
        <is>
          <t>The code collects into HKD Hong Kong</t>
        </is>
      </c>
      <c r="K10" s="74" t="inlineStr">
        <is>
          <t>PASS</t>
        </is>
      </c>
      <c r="L10" s="74" t="inlineStr">
        <is>
          <t>HIGH</t>
        </is>
      </c>
      <c r="M10" s="58" t="inlineStr">
        <is>
          <t>KIMA</t>
        </is>
      </c>
      <c r="N10" s="103" t="n">
        <v>46273</v>
      </c>
      <c r="O10" s="53" t="inlineStr">
        <is>
          <t>Window OS</t>
        </is>
      </c>
      <c r="P10" s="76" t="inlineStr">
        <is>
          <t>Chromium</t>
        </is>
      </c>
      <c r="Q10" s="70" t="n"/>
      <c r="R10" s="70" t="n"/>
      <c r="S10" s="77" t="inlineStr">
        <is>
          <t>Run</t>
        </is>
      </c>
    </row>
    <row r="11" ht="15.75" customHeight="1" s="51">
      <c r="A11" s="67" t="inlineStr">
        <is>
          <t>TC_003</t>
        </is>
      </c>
      <c r="B11" s="79" t="inlineStr">
        <is>
          <t>QR Code</t>
        </is>
      </c>
      <c r="C11" s="72" t="inlineStr">
        <is>
          <t>The code can be given an amount and a remark</t>
        </is>
      </c>
      <c r="D11" s="70" t="inlineStr">
        <is>
          <t>Positive</t>
        </is>
      </c>
      <c r="E11" s="71" t="inlineStr">
        <is>
          <t>User is on the QR code page</t>
        </is>
      </c>
      <c r="F11" s="72" t="inlineStr">
        <is>
          <t>-Given I log into the UMPay application with valid email credentials using "&lt;row&gt;" of "&lt;excelSheetName&gt;" of "&lt;excelFileName&gt;"
-When I open the QR code page
-Then it should ask for an amount and a remark to put on the code</t>
        </is>
      </c>
      <c r="G11" s="72" t="inlineStr">
        <is>
          <t>Valid UMPay user</t>
        </is>
      </c>
      <c r="H11" s="73" t="inlineStr">
        <is>
          <t>The page should ask for an amount and a remark to put on the code</t>
        </is>
      </c>
      <c r="I11" s="73" t="inlineStr">
        <is>
          <t>User is on the QR code page</t>
        </is>
      </c>
      <c r="J11" s="73" t="inlineStr">
        <is>
          <t>The page asks for an amount (placeholder "Enter Amount") and a remark</t>
        </is>
      </c>
      <c r="K11" s="74" t="inlineStr">
        <is>
          <t>PASS</t>
        </is>
      </c>
      <c r="L11" s="74" t="inlineStr">
        <is>
          <t>HIGH</t>
        </is>
      </c>
      <c r="M11" s="58" t="inlineStr">
        <is>
          <t>KIMA</t>
        </is>
      </c>
      <c r="N11" s="103" t="n">
        <v>46273</v>
      </c>
      <c r="O11" s="53" t="inlineStr">
        <is>
          <t>Window OS</t>
        </is>
      </c>
      <c r="P11" s="76" t="inlineStr">
        <is>
          <t>Chromium</t>
        </is>
      </c>
      <c r="Q11" s="70" t="n"/>
      <c r="R11" s="70" t="n"/>
      <c r="S11" s="77" t="inlineStr">
        <is>
          <t>Run</t>
        </is>
      </c>
    </row>
    <row r="12" ht="15.75" customHeight="1" s="51">
      <c r="A12" s="67" t="inlineStr">
        <is>
          <t>TC_004</t>
        </is>
      </c>
      <c r="B12" s="79" t="inlineStr">
        <is>
          <t>QR Code</t>
        </is>
      </c>
      <c r="C12" s="72" t="inlineStr">
        <is>
          <t>The code is still drawn once an amount and a remark are on it</t>
        </is>
      </c>
      <c r="D12" s="70" t="inlineStr">
        <is>
          <t>Positive</t>
        </is>
      </c>
      <c r="E12" s="71" t="inlineStr">
        <is>
          <t>User is on the QR code page</t>
        </is>
      </c>
      <c r="F12" s="72" t="inlineStr">
        <is>
          <t>-Given I log into the UMPay application with valid email credentials using "&lt;row&gt;" of "&lt;excelSheetName&gt;" of "&lt;excelFileName&gt;"
-When I open the QR code page
-And I put the amount and the remark from "&lt;row&gt;" of "&lt;excelSheetName&gt;" of "&lt;excelFileName&gt;" on the code
-Then the code should still be drawn, carrying what was typed</t>
        </is>
      </c>
      <c r="G12" s="72" t="inlineStr">
        <is>
          <t>Amount 250, Remark Lunch at the market</t>
        </is>
      </c>
      <c r="H12" s="73" t="inlineStr">
        <is>
          <t>The code should still be drawn after an amount and a remark are entered, and should carry what was typed</t>
        </is>
      </c>
      <c r="I12" s="73" t="inlineStr">
        <is>
          <t>User is on the QR code page</t>
        </is>
      </c>
      <c r="J12" s="73" t="inlineStr">
        <is>
          <t>With 250 and "Lunch at the market" typed, the code was still drawn 198x200 and both carried what was typed</t>
        </is>
      </c>
      <c r="K12" s="74" t="inlineStr">
        <is>
          <t>PASS</t>
        </is>
      </c>
      <c r="L12" s="74" t="inlineStr">
        <is>
          <t>HIGH</t>
        </is>
      </c>
      <c r="M12" s="58" t="inlineStr">
        <is>
          <t>KIMA</t>
        </is>
      </c>
      <c r="N12" s="103" t="n">
        <v>46273</v>
      </c>
      <c r="O12" s="53" t="inlineStr">
        <is>
          <t>Window OS</t>
        </is>
      </c>
      <c r="P12" s="76" t="inlineStr">
        <is>
          <t>Chromium</t>
        </is>
      </c>
      <c r="Q12" s="70" t="n"/>
      <c r="R12" s="70" t="n"/>
      <c r="S12" s="77" t="inlineStr">
        <is>
          <t>Run</t>
        </is>
      </c>
    </row>
    <row r="13" ht="15.75" customHeight="1" s="51">
      <c r="A13" s="67" t="inlineStr">
        <is>
          <t>TC_005</t>
        </is>
      </c>
      <c r="B13" s="79" t="inlineStr">
        <is>
          <t>QR Code</t>
        </is>
      </c>
      <c r="C13" s="72" t="inlineStr">
        <is>
          <t>The code can be drawn for any of the account's wallets</t>
        </is>
      </c>
      <c r="D13" s="70" t="inlineStr">
        <is>
          <t>Positive</t>
        </is>
      </c>
      <c r="E13" s="71" t="inlineStr">
        <is>
          <t>User is on the QR code page</t>
        </is>
      </c>
      <c r="F13" s="72" t="inlineStr">
        <is>
          <t>-Given I log into the UMPay application with valid email credentials using "&lt;row&gt;" of "&lt;excelSheetName&gt;" of "&lt;excelFileName&gt;"
-When I open the QR code page
-And I open the wallets the code can be drawn for
-Then every wallet the account holds should be offered</t>
        </is>
      </c>
      <c r="G13" s="72" t="inlineStr">
        <is>
          <t>Valid UMPay user</t>
        </is>
      </c>
      <c r="H13" s="73" t="inlineStr">
        <is>
          <t>Every wallet the account holds should be offered to draw the code for</t>
        </is>
      </c>
      <c r="I13" s="73" t="inlineStr">
        <is>
          <t>User is on the QR code page</t>
        </is>
      </c>
      <c r="J13" s="73" t="inlineStr">
        <is>
          <t>The wallets opened, offering 9 - BDT Bangladesh, PHP Philippines, MXN Mexico, BRL Brazil, VND Vietnam, IDR Indonesia, THB Thailand, MYR Malaysia, HKD Hong Kong</t>
        </is>
      </c>
      <c r="K13" s="74" t="inlineStr">
        <is>
          <t>PASS</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QR Code</t>
        </is>
      </c>
      <c r="C14" s="72" t="inlineStr">
        <is>
          <t>The code can be downloaded</t>
        </is>
      </c>
      <c r="D14" s="70" t="inlineStr">
        <is>
          <t>Positive</t>
        </is>
      </c>
      <c r="E14" s="71" t="inlineStr">
        <is>
          <t>User is on the QR code page</t>
        </is>
      </c>
      <c r="F14" s="72" t="inlineStr">
        <is>
          <t>-Given I log into the UMPay application with valid email credentials using "&lt;row&gt;" of "&lt;excelSheetName&gt;" of "&lt;excelFileName&gt;"
-When I open the QR code page
-Then it should offer to download the code</t>
        </is>
      </c>
      <c r="G14" s="72" t="inlineStr">
        <is>
          <t>Valid UMPay user</t>
        </is>
      </c>
      <c r="H14" s="73" t="inlineStr">
        <is>
          <t>The page should offer to download the code, so it can be printed or sent on</t>
        </is>
      </c>
      <c r="I14" s="73" t="inlineStr">
        <is>
          <t>User is on the QR code page</t>
        </is>
      </c>
      <c r="J14" s="73" t="inlineStr">
        <is>
          <t>The page offers Download</t>
        </is>
      </c>
      <c r="K14" s="74" t="inlineStr">
        <is>
          <t>PASS</t>
        </is>
      </c>
      <c r="L14" s="74" t="inlineStr">
        <is>
          <t>MEDIUM</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Scan QR Code</t>
        </is>
      </c>
      <c r="C15" s="72" t="inlineStr">
        <is>
          <t>The scan page asks for a code to be lined up with the frame</t>
        </is>
      </c>
      <c r="D15" s="70" t="inlineStr">
        <is>
          <t>Positive</t>
        </is>
      </c>
      <c r="E15" s="71" t="inlineStr">
        <is>
          <t>User is signed in</t>
        </is>
      </c>
      <c r="F15" s="72" t="inlineStr">
        <is>
          <t>-Given I log into the UMPay application with valid email credentials using "&lt;row&gt;" of "&lt;excelSheetName&gt;" of "&lt;excelFileName&gt;"
-When I open the scan QR code page
-Then it should ask for a code to be lined up with the frame</t>
        </is>
      </c>
      <c r="G15" s="72" t="inlineStr">
        <is>
          <t>Valid UMPay user</t>
        </is>
      </c>
      <c r="H15" s="73" t="inlineStr">
        <is>
          <t>The scan page should open, asking for a QR code to be lined up with its frame</t>
        </is>
      </c>
      <c r="I15" s="73" t="inlineStr">
        <is>
          <t>User is on the Scan QR Code page</t>
        </is>
      </c>
      <c r="J15" s="73" t="inlineStr">
        <is>
          <t>The scanner opened at /scan-qr asking to "Align frame with QR Code", and said "Device not supported" of this machine, which has no camera</t>
        </is>
      </c>
      <c r="K15" s="74" t="inlineStr">
        <is>
          <t>PASS</t>
        </is>
      </c>
      <c r="L15" s="74" t="inlineStr">
        <is>
          <t>HIGH</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Scan QR Code</t>
        </is>
      </c>
      <c r="C16" s="72" t="inlineStr">
        <is>
          <t>A photo can be uploaded where there is no camera to use</t>
        </is>
      </c>
      <c r="D16" s="70" t="inlineStr">
        <is>
          <t>Positive</t>
        </is>
      </c>
      <c r="E16" s="71" t="inlineStr">
        <is>
          <t>User is on the Scan QR Code page</t>
        </is>
      </c>
      <c r="F16" s="72" t="inlineStr">
        <is>
          <t>-Given I log into the UMPay application with valid email credentials using "&lt;row&gt;" of "&lt;excelSheetName&gt;" of "&lt;excelFileName&gt;"
-When I open the scan QR code page
-Then it should offer a photo to be uploaded instead</t>
        </is>
      </c>
      <c r="G16" s="72" t="inlineStr">
        <is>
          <t>A machine with no camera</t>
        </is>
      </c>
      <c r="H16" s="73" t="inlineStr">
        <is>
          <t>The scanner should offer a photo to be uploaded instead of using a camera</t>
        </is>
      </c>
      <c r="I16" s="73" t="inlineStr">
        <is>
          <t>User is on the Scan QR Code page</t>
        </is>
      </c>
      <c r="J16" s="73" t="inlineStr">
        <is>
          <t>Having said "Device not supported", the scanner offers a photo to be uploaded, taking image/*</t>
        </is>
      </c>
      <c r="K16" s="74" t="inlineStr">
        <is>
          <t>PASS</t>
        </is>
      </c>
      <c r="L16" s="74" t="inlineStr">
        <is>
          <t>HIGH</t>
        </is>
      </c>
      <c r="M16" s="58" t="inlineStr">
        <is>
          <t>KIMA</t>
        </is>
      </c>
      <c r="N16" s="103" t="n">
        <v>46273</v>
      </c>
      <c r="O16" s="53" t="inlineStr">
        <is>
          <t>Window OS</t>
        </is>
      </c>
      <c r="P16" s="76" t="inlineStr">
        <is>
          <t>Chromium</t>
        </is>
      </c>
      <c r="Q16" s="70" t="n"/>
      <c r="R16" s="70" t="n"/>
      <c r="S16" s="77" t="inlineStr">
        <is>
          <t>Run</t>
        </is>
      </c>
    </row>
    <row r="17" ht="15.75" customHeight="1" s="51">
      <c r="A17" s="67" t="inlineStr">
        <is>
          <t>TC_009</t>
        </is>
      </c>
      <c r="B17" s="79" t="inlineStr">
        <is>
          <t>Scan QR Code</t>
        </is>
      </c>
      <c r="C17" s="72" t="inlineStr">
        <is>
          <t>A picture with no code in it is not acted on</t>
        </is>
      </c>
      <c r="D17" s="70" t="inlineStr">
        <is>
          <t>Negative</t>
        </is>
      </c>
      <c r="E17" s="71" t="inlineStr">
        <is>
          <t>User is on the Scan QR Code page</t>
        </is>
      </c>
      <c r="F17" s="72" t="inlineStr">
        <is>
          <t>-Given I log into the UMPay application with valid email credentials using "&lt;row&gt;" of "&lt;excelSheetName&gt;" of "&lt;excelFileName&gt;"
-When I open the scan QR code page
-And I hand it a picture with no code in it
-Then it should not act on it</t>
        </is>
      </c>
      <c r="G17" s="72" t="inlineStr">
        <is>
          <t>A screenshot from this suite's own run, which has no QR code in it</t>
        </is>
      </c>
      <c r="H17" s="73" t="inlineStr">
        <is>
          <t>The scanner should not act on a picture it cannot read a code from, and should leave the run where it was</t>
        </is>
      </c>
      <c r="I17" s="73" t="inlineStr">
        <is>
          <t>Nothing was sent and nobody was paid</t>
        </is>
      </c>
      <c r="J17" s="73" t="inlineStr">
        <is>
          <t>Handed a screenshot from this suite own run, the scanner stayed where it was and nothing was started. It said nothing at all about the picture, so nobody uploading the wrong file would learn that it had not been read</t>
        </is>
      </c>
      <c r="K17" s="74" t="inlineStr">
        <is>
          <t>PASS</t>
        </is>
      </c>
      <c r="L17" s="74" t="inlineStr">
        <is>
          <t>HIGH</t>
        </is>
      </c>
      <c r="M17" s="58" t="inlineStr">
        <is>
          <t>KIMA</t>
        </is>
      </c>
      <c r="N17" s="103" t="n">
        <v>46273</v>
      </c>
      <c r="O17" s="53" t="inlineStr">
        <is>
          <t>Window OS</t>
        </is>
      </c>
      <c r="P17" s="76" t="inlineStr">
        <is>
          <t>Chromium</t>
        </is>
      </c>
      <c r="Q17" s="70" t="n"/>
      <c r="R17" s="70" t="n"/>
      <c r="S17" s="77" t="inlineStr">
        <is>
          <t>Run</t>
        </is>
      </c>
    </row>
    <row r="18" ht="15.75" customHeight="1" s="51">
      <c r="A18" s="67" t="inlineStr">
        <is>
          <t>TC_010</t>
        </is>
      </c>
      <c r="B18" s="79" t="inlineStr">
        <is>
          <t>QR Code</t>
        </is>
      </c>
      <c r="C18" s="72" t="inlineStr">
        <is>
          <t>The QR pages can be reached from the application</t>
        </is>
      </c>
      <c r="D18" s="70" t="inlineStr">
        <is>
          <t>Negative</t>
        </is>
      </c>
      <c r="E18" s="71" t="inlineStr">
        <is>
          <t>User is signed in</t>
        </is>
      </c>
      <c r="F18" s="72" t="inlineStr">
        <is>
          <t>-Given I log into the UMPay application with valid email credentials using "&lt;row&gt;" of "&lt;excelSheetName&gt;" of "&lt;excelFileName&gt;"
-When I look through the application for a way to the QR pages
-Then something should lead to them</t>
        </is>
      </c>
      <c r="G18" s="72" t="inlineStr">
        <is>
          <t>Valid UMPay user</t>
        </is>
      </c>
      <c r="H18" s="73" t="inlineStr">
        <is>
          <t>Something in the application - the top bar, the sidebar, the profile drawer or one of its pages - should lead to the QR code and the scanner</t>
        </is>
      </c>
      <c r="I18" s="73" t="inlineStr">
        <is>
          <t>User can reach the QR pages without being given their addresses</t>
        </is>
      </c>
      <c r="J18" s="73" t="inlineStr">
        <is>
          <t>DEFECT - nothing in the application leads to /qr-code or /scan-qr. Swept the home, transfer, deposit, withdraw, bills, convert, wallet and trade record pages, as well as the top bar at desktop and phone width, the sidebar and the profile drawer. Both pages answer their addresses and work, and the suite own older header page object still carries locators for a QR control in the top bar that matches nothing now</t>
        </is>
      </c>
      <c r="K18" s="74" t="inlineStr">
        <is>
          <t>FAIL</t>
        </is>
      </c>
      <c r="L18" s="74" t="inlineStr">
        <is>
          <t>HIGH</t>
        </is>
      </c>
      <c r="M18" s="58" t="inlineStr">
        <is>
          <t>KIMA</t>
        </is>
      </c>
      <c r="N18" s="103" t="n">
        <v>46273</v>
      </c>
      <c r="O18" s="53" t="inlineStr">
        <is>
          <t>Window OS</t>
        </is>
      </c>
      <c r="P18" s="76" t="inlineStr">
        <is>
          <t>Chromium</t>
        </is>
      </c>
      <c r="Q18" s="70" t="n"/>
      <c r="R18" s="70" t="n"/>
      <c r="S18" s="77" t="inlineStr">
        <is>
          <t>Run</t>
        </is>
      </c>
    </row>
    <row r="19" ht="15.75" customHeight="1" s="51"/>
    <row r="20" ht="15.75" customHeight="1" s="51"/>
    <row r="21" ht="15.75" customHeight="1" s="51"/>
    <row r="22" ht="15.75" customHeight="1" s="51"/>
  </sheetData>
  <dataValidations count="7">
    <dataValidation sqref="K9:K18" showDropDown="0" showInputMessage="0" showErrorMessage="0" allowBlank="1" type="list">
      <formula1>"PASS,FAIL,PENDING"</formula1>
    </dataValidation>
    <dataValidation sqref="P9:P18" showDropDown="0" showInputMessage="0" showErrorMessage="0" allowBlank="1" type="list">
      <formula1>METADATA!$H$2:$H$8</formula1>
    </dataValidation>
    <dataValidation sqref="O9:O18" showDropDown="0" showInputMessage="0" showErrorMessage="0" allowBlank="1" type="list">
      <formula1>METADATA!$J$2:$J$7</formula1>
    </dataValidation>
    <dataValidation sqref="D9:D18" showDropDown="0" showInputMessage="0" showErrorMessage="0" allowBlank="1" type="list">
      <formula1>METADATA!$N$2:$N$3</formula1>
    </dataValidation>
    <dataValidation sqref="B4 M9:M18" showDropDown="0" showInputMessage="0" showErrorMessage="0" allowBlank="1" type="list">
      <formula1>METADATA!$F$2:$F$4</formula1>
    </dataValidation>
    <dataValidation sqref="L9:L18"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T20"/>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Commission Listing</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46273</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46273</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Commission Listing</t>
        </is>
      </c>
      <c r="C9" s="72" t="inlineStr">
        <is>
          <t>The profile drawer opens the commission listing</t>
        </is>
      </c>
      <c r="D9" s="70" t="inlineStr">
        <is>
          <t>Positive</t>
        </is>
      </c>
      <c r="E9" s="71" t="inlineStr">
        <is>
          <t>User is signed in</t>
        </is>
      </c>
      <c r="F9" s="72" t="inlineStr">
        <is>
          <t>-Given I log into the UMPay application with valid email credentials using "&lt;row&gt;" of "&lt;excelSheetName&gt;" of "&lt;excelFileName&gt;"
-When I open the Commission Listing
-Then the commissions should be listed</t>
        </is>
      </c>
      <c r="G9" s="72" t="inlineStr">
        <is>
          <t>Valid UMPay user</t>
        </is>
      </c>
      <c r="H9" s="73" t="inlineStr">
        <is>
          <t>The Commission Listing should open from the profile drawer, listing what the account has earned</t>
        </is>
      </c>
      <c r="I9" s="73" t="inlineStr">
        <is>
          <t>User is on the Commission Listing</t>
        </is>
      </c>
      <c r="J9" s="73" t="inlineStr">
        <is>
          <t>Opened /customer/commission, listing 10 commissions earned from Transfer, Payment Gateway, School Fee and Deposit</t>
        </is>
      </c>
      <c r="K9" s="74" t="inlineStr">
        <is>
          <t>PASS</t>
        </is>
      </c>
      <c r="L9" s="74" t="inlineStr">
        <is>
          <t>HIGH</t>
        </is>
      </c>
      <c r="M9" s="58" t="inlineStr">
        <is>
          <t>KIMA</t>
        </is>
      </c>
      <c r="N9" s="103" t="n">
        <v>46273</v>
      </c>
      <c r="O9" s="53" t="inlineStr">
        <is>
          <t>Window OS</t>
        </is>
      </c>
      <c r="P9" s="76" t="inlineStr">
        <is>
          <t>Chromium</t>
        </is>
      </c>
      <c r="Q9" s="70" t="n"/>
      <c r="R9" s="70" t="n"/>
      <c r="S9" s="77" t="inlineStr">
        <is>
          <t>Run</t>
        </is>
      </c>
    </row>
    <row r="10" ht="15.75" customHeight="1" s="51">
      <c r="A10" s="67" t="inlineStr">
        <is>
          <t>TC_002</t>
        </is>
      </c>
      <c r="B10" s="79" t="inlineStr">
        <is>
          <t>Commission Listing</t>
        </is>
      </c>
      <c r="C10" s="72" t="inlineStr">
        <is>
          <t>Every commission carries a reference, an amount and a date</t>
        </is>
      </c>
      <c r="D10" s="70" t="inlineStr">
        <is>
          <t>Positive</t>
        </is>
      </c>
      <c r="E10" s="71" t="inlineStr">
        <is>
          <t>User is on the Commission Listing</t>
        </is>
      </c>
      <c r="F10" s="72" t="inlineStr">
        <is>
          <t>-Given I log into the UMPay application with valid email credentials using "&lt;row&gt;" of "&lt;excelSheetName&gt;" of "&lt;excelFileName&gt;"
-When I open the Commission Listing
-Then every commission should carry a reference, an amount and a date</t>
        </is>
      </c>
      <c r="G10" s="72" t="inlineStr">
        <is>
          <t>Valid UMPay user</t>
        </is>
      </c>
      <c r="H10" s="73" t="inlineStr">
        <is>
          <t>Every commission should carry a Reference No, an Amount and a Created Date, none of them blank</t>
        </is>
      </c>
      <c r="I10" s="73" t="inlineStr">
        <is>
          <t>User is on the Commission Listing</t>
        </is>
      </c>
      <c r="J10" s="73" t="inlineStr">
        <is>
          <t>All 10 carried a Reference No, an Amount and a Created Date, none blank. The first: Transfer, Unsettled, 983389494646542620, HKD 1.00, 2026-09-04 15:18:47</t>
        </is>
      </c>
      <c r="K10" s="74" t="inlineStr">
        <is>
          <t>PASS</t>
        </is>
      </c>
      <c r="L10" s="74" t="inlineStr">
        <is>
          <t>HIGH</t>
        </is>
      </c>
      <c r="M10" s="58" t="inlineStr">
        <is>
          <t>KIMA</t>
        </is>
      </c>
      <c r="N10" s="103" t="n">
        <v>46273</v>
      </c>
      <c r="O10" s="53" t="inlineStr">
        <is>
          <t>Window OS</t>
        </is>
      </c>
      <c r="P10" s="76" t="inlineStr">
        <is>
          <t>Chromium</t>
        </is>
      </c>
      <c r="Q10" s="70" t="n"/>
      <c r="R10" s="70" t="n"/>
      <c r="S10" s="77" t="inlineStr">
        <is>
          <t>Run</t>
        </is>
      </c>
    </row>
    <row r="11" ht="15.75" customHeight="1" s="51">
      <c r="A11" s="67" t="inlineStr">
        <is>
          <t>TC_003</t>
        </is>
      </c>
      <c r="B11" s="79" t="inlineStr">
        <is>
          <t>Commission Listing</t>
        </is>
      </c>
      <c r="C11" s="72" t="inlineStr">
        <is>
          <t>Every amount is stated in the currency it was earned in</t>
        </is>
      </c>
      <c r="D11" s="70" t="inlineStr">
        <is>
          <t>Positive</t>
        </is>
      </c>
      <c r="E11" s="71" t="inlineStr">
        <is>
          <t>User is on the Commission Listing</t>
        </is>
      </c>
      <c r="F11" s="72" t="inlineStr">
        <is>
          <t>-Given I log into the UMPay application with valid email credentials using "&lt;row&gt;" of "&lt;excelSheetName&gt;" of "&lt;excelFileName&gt;"
-When I open the Commission Listing
-Then every amount should be stated in a currency</t>
        </is>
      </c>
      <c r="G11" s="72" t="inlineStr">
        <is>
          <t>Valid UMPay user</t>
        </is>
      </c>
      <c r="H11" s="73" t="inlineStr">
        <is>
          <t>Every amount should name the currency it was earned in, since an amount with no currency is a number nobody can bank</t>
        </is>
      </c>
      <c r="I11" s="73" t="inlineStr">
        <is>
          <t>User is on the Commission Listing</t>
        </is>
      </c>
      <c r="J11" s="73" t="inlineStr">
        <is>
          <t>Every amount named its currency - the first reads HKD 1.00</t>
        </is>
      </c>
      <c r="K11" s="74" t="inlineStr">
        <is>
          <t>PASS</t>
        </is>
      </c>
      <c r="L11" s="74" t="inlineStr">
        <is>
          <t>HIGH</t>
        </is>
      </c>
      <c r="M11" s="58" t="inlineStr">
        <is>
          <t>KIMA</t>
        </is>
      </c>
      <c r="N11" s="103" t="n">
        <v>46273</v>
      </c>
      <c r="O11" s="53" t="inlineStr">
        <is>
          <t>Window OS</t>
        </is>
      </c>
      <c r="P11" s="76" t="inlineStr">
        <is>
          <t>Chromium</t>
        </is>
      </c>
      <c r="Q11" s="70" t="n"/>
      <c r="R11" s="70" t="n"/>
      <c r="S11" s="77" t="inlineStr">
        <is>
          <t>Run</t>
        </is>
      </c>
    </row>
    <row r="12" ht="15.75" customHeight="1" s="51">
      <c r="A12" s="67" t="inlineStr">
        <is>
          <t>TC_004</t>
        </is>
      </c>
      <c r="B12" s="79" t="inlineStr">
        <is>
          <t>Commission Listing</t>
        </is>
      </c>
      <c r="C12" s="72" t="inlineStr">
        <is>
          <t>Every commission says what earned it and whether it is settled</t>
        </is>
      </c>
      <c r="D12" s="70" t="inlineStr">
        <is>
          <t>Positive</t>
        </is>
      </c>
      <c r="E12" s="71" t="inlineStr">
        <is>
          <t>User is on the Commission Listing</t>
        </is>
      </c>
      <c r="F12" s="72" t="inlineStr">
        <is>
          <t>-Given I log into the UMPay application with valid email credentials using "&lt;row&gt;" of "&lt;excelSheetName&gt;" of "&lt;excelFileName&gt;"
-When I open the Commission Listing
-Then every commission should say what earned it and whether it is settled</t>
        </is>
      </c>
      <c r="G12" s="72" t="inlineStr">
        <is>
          <t>Valid UMPay user</t>
        </is>
      </c>
      <c r="H12" s="73" t="inlineStr">
        <is>
          <t>Every commission should name what earned it - Transfer, Payment Gateway, Deposit, Withdraw - and carry a badge saying whether it has been settled</t>
        </is>
      </c>
      <c r="I12" s="73" t="inlineStr">
        <is>
          <t>User is on the Commission Listing</t>
        </is>
      </c>
      <c r="J12" s="73" t="inlineStr">
        <is>
          <t>All 10 named what earned them - Transfer, Payment Gateway, School Fee, Deposit - and all 10 carried an Unsettled badge</t>
        </is>
      </c>
      <c r="K12" s="74" t="inlineStr">
        <is>
          <t>PASS</t>
        </is>
      </c>
      <c r="L12" s="74" t="inlineStr">
        <is>
          <t>HIGH</t>
        </is>
      </c>
      <c r="M12" s="58" t="inlineStr">
        <is>
          <t>KIMA</t>
        </is>
      </c>
      <c r="N12" s="103" t="n">
        <v>46273</v>
      </c>
      <c r="O12" s="53" t="inlineStr">
        <is>
          <t>Window OS</t>
        </is>
      </c>
      <c r="P12" s="76" t="inlineStr">
        <is>
          <t>Chromium</t>
        </is>
      </c>
      <c r="Q12" s="70" t="n"/>
      <c r="R12" s="70" t="n"/>
      <c r="S12" s="77" t="inlineStr">
        <is>
          <t>Run</t>
        </is>
      </c>
    </row>
    <row r="13" ht="15.75" customHeight="1" s="51">
      <c r="A13" s="67" t="inlineStr">
        <is>
          <t>TC_005</t>
        </is>
      </c>
      <c r="B13" s="79" t="inlineStr">
        <is>
          <t>Commission Filter</t>
        </is>
      </c>
      <c r="C13" s="72" t="inlineStr">
        <is>
          <t>The listing offers to be narrowed to settled or unsettled</t>
        </is>
      </c>
      <c r="D13" s="70" t="inlineStr">
        <is>
          <t>Positive</t>
        </is>
      </c>
      <c r="E13" s="71" t="inlineStr">
        <is>
          <t>User is on the Commission Listing</t>
        </is>
      </c>
      <c r="F13" s="72" t="inlineStr">
        <is>
          <t>-Given I log into the UMPay application with valid email credentials using "&lt;row&gt;" of "&lt;excelSheetName&gt;" of "&lt;excelFileName&gt;"
-When I open the Commission Listing
-Then the types offered should be "All, Unsettled, Settled"</t>
        </is>
      </c>
      <c r="G13" s="72" t="inlineStr">
        <is>
          <t>Valid UMPay user</t>
        </is>
      </c>
      <c r="H13" s="73" t="inlineStr">
        <is>
          <t>The Type chooser should offer All, Unsettled and Settled</t>
        </is>
      </c>
      <c r="I13" s="73" t="inlineStr">
        <is>
          <t>User is on the Commission Listing</t>
        </is>
      </c>
      <c r="J13" s="73" t="inlineStr">
        <is>
          <t>The Type chooser offers All, Unsettled and Settled</t>
        </is>
      </c>
      <c r="K13" s="74" t="inlineStr">
        <is>
          <t>PASS</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Commission Filter</t>
        </is>
      </c>
      <c r="C14" s="72" t="inlineStr">
        <is>
          <t>Asking for unsettled commissions leaves only unsettled ones</t>
        </is>
      </c>
      <c r="D14" s="70" t="inlineStr">
        <is>
          <t>Positive</t>
        </is>
      </c>
      <c r="E14" s="71" t="inlineStr">
        <is>
          <t>User is on the Commission Listing</t>
        </is>
      </c>
      <c r="F14" s="72" t="inlineStr">
        <is>
          <t>-Given I log into the UMPay application with valid email credentials using "&lt;row&gt;" of "&lt;excelSheetName&gt;" of "&lt;excelFileName&gt;"
-When I open the Commission Listing
-And I ask for the commissions named in "&lt;row&gt;" of "&lt;excelSheetName&gt;" of "&lt;excelFileName&gt;"
-Then only commissions of that kind should be listed
-When I clear the filters
-Then the whole listing should come back</t>
        </is>
      </c>
      <c r="G14" s="72" t="inlineStr">
        <is>
          <t>Type: Unsettled</t>
        </is>
      </c>
      <c r="H14" s="73" t="inlineStr">
        <is>
          <t>Only unsettled commissions should be listed, and Reset should bring the whole listing back</t>
        </is>
      </c>
      <c r="I14" s="73" t="inlineStr">
        <is>
          <t>The filters are cleared and the whole listing is back</t>
        </is>
      </c>
      <c r="J14" s="73" t="inlineStr">
        <is>
          <t>Asking for Unsettled left 10 commissions, every one of them Unsettled, and Reset brought back all 10 and emptied the filters</t>
        </is>
      </c>
      <c r="K14" s="74" t="inlineStr">
        <is>
          <t>PASS</t>
        </is>
      </c>
      <c r="L14" s="74" t="inlineStr">
        <is>
          <t>HIGH</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Commission Filter</t>
        </is>
      </c>
      <c r="C15" s="72" t="inlineStr">
        <is>
          <t>Asking for settled commissions leaves only settled ones</t>
        </is>
      </c>
      <c r="D15" s="70" t="inlineStr">
        <is>
          <t>Positive</t>
        </is>
      </c>
      <c r="E15" s="71" t="inlineStr">
        <is>
          <t>User is on the Commission Listing</t>
        </is>
      </c>
      <c r="F15" s="72" t="inlineStr">
        <is>
          <t>-Given I log into the UMPay application with valid email credentials using "&lt;row&gt;" of "&lt;excelSheetName&gt;" of "&lt;excelFileName&gt;"
-When I open the Commission Listing
-And I ask for the commissions named in "&lt;row&gt;" of "&lt;excelSheetName&gt;" of "&lt;excelFileName&gt;"
-Then only commissions of that kind should be listed
-When I clear the filters
-Then the whole listing should come back</t>
        </is>
      </c>
      <c r="G15" s="72" t="inlineStr">
        <is>
          <t>Type: Settled</t>
        </is>
      </c>
      <c r="H15" s="73" t="inlineStr">
        <is>
          <t>Only settled commissions should be listed, and Reset should bring the whole listing back</t>
        </is>
      </c>
      <c r="I15" s="73" t="inlineStr">
        <is>
          <t>The filters are cleared and the whole listing is back</t>
        </is>
      </c>
      <c r="J15" s="73" t="inlineStr">
        <is>
          <t>Asking for Settled left 10 commissions, every one of them Settled - a different set, earned by Withdraw and Deposit in USD - and Reset brought back all 10</t>
        </is>
      </c>
      <c r="K15" s="74" t="inlineStr">
        <is>
          <t>PASS</t>
        </is>
      </c>
      <c r="L15" s="74" t="inlineStr">
        <is>
          <t>HIGH</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Commission Filter</t>
        </is>
      </c>
      <c r="C16" s="72" t="inlineStr">
        <is>
          <t>A date range with nothing in it says so</t>
        </is>
      </c>
      <c r="D16" s="70" t="inlineStr">
        <is>
          <t>Negative</t>
        </is>
      </c>
      <c r="E16" s="71" t="inlineStr">
        <is>
          <t>User is on the Commission Listing</t>
        </is>
      </c>
      <c r="F16" s="72" t="inlineStr">
        <is>
          <t>-Given I log into the UMPay application with valid email credentials using "&lt;row&gt;" of "&lt;excelSheetName&gt;" of "&lt;excelFileName&gt;"
-When I open the Commission Listing
-And I ask for the commissions between the dates in "&lt;row&gt;" of "&lt;excelSheetName&gt;" of "&lt;excelFileName&gt;"
-Then it should say there is nothing to show
-When I clear the filters
-Then the whole listing should come back</t>
        </is>
      </c>
      <c r="G16" s="72" t="inlineStr">
        <is>
          <t>2020-01-01 to 2020-01-02, before the account existed</t>
        </is>
      </c>
      <c r="H16" s="73" t="inlineStr">
        <is>
          <t>The listing should be empty and should say "No data", so an account that earned nothing can be told from a page that failed to load</t>
        </is>
      </c>
      <c r="I16" s="73" t="inlineStr">
        <is>
          <t>The filters are cleared and the whole listing is back</t>
        </is>
      </c>
      <c r="J16" s="73" t="inlineStr">
        <is>
          <t>Between 2020-01-01 and 2020-01-02 the listing was empty and the page said "No data" rather than showing an empty page, and Reset brought back all 10</t>
        </is>
      </c>
      <c r="K16" s="74" t="inlineStr">
        <is>
          <t>PASS</t>
        </is>
      </c>
      <c r="L16" s="74" t="inlineStr">
        <is>
          <t>HIGH</t>
        </is>
      </c>
      <c r="M16" s="58" t="inlineStr">
        <is>
          <t>KIMA</t>
        </is>
      </c>
      <c r="N16" s="103" t="n">
        <v>46273</v>
      </c>
      <c r="O16" s="53" t="inlineStr">
        <is>
          <t>Window OS</t>
        </is>
      </c>
      <c r="P16" s="76" t="inlineStr">
        <is>
          <t>Chromium</t>
        </is>
      </c>
      <c r="Q16" s="70" t="n"/>
      <c r="R16" s="70" t="n"/>
      <c r="S16" s="77" t="inlineStr">
        <is>
          <t>Run</t>
        </is>
      </c>
    </row>
    <row r="17" ht="15.75" customHeight="1" s="51">
      <c r="A17" s="67" t="inlineStr">
        <is>
          <t>TC_009</t>
        </is>
      </c>
      <c r="B17" s="79" t="inlineStr">
        <is>
          <t>Commission Filter</t>
        </is>
      </c>
      <c r="C17" s="72" t="inlineStr">
        <is>
          <t>The commissions can be narrowed to one of the account's wallets</t>
        </is>
      </c>
      <c r="D17" s="70" t="inlineStr">
        <is>
          <t>Positive</t>
        </is>
      </c>
      <c r="E17" s="71" t="inlineStr">
        <is>
          <t>User is on the Commission Listing</t>
        </is>
      </c>
      <c r="F17" s="72" t="inlineStr">
        <is>
          <t>-Given I log into the UMPay application with valid email credentials using "&lt;row&gt;" of "&lt;excelSheetName&gt;" of "&lt;excelFileName&gt;"
-When I open the Commission Listing
-And I open the wallets the commissions can be narrowed to
-Then every wallet the account holds should be offered to narrow by</t>
        </is>
      </c>
      <c r="G17" s="72" t="inlineStr">
        <is>
          <t>Valid UMPay user</t>
        </is>
      </c>
      <c r="H17" s="73" t="inlineStr">
        <is>
          <t>Every wallet the account holds should be offered to narrow the commissions to</t>
        </is>
      </c>
      <c r="I17" s="73" t="inlineStr">
        <is>
          <t>User is on the Commission Listing</t>
        </is>
      </c>
      <c r="J17" s="73" t="inlineStr">
        <is>
          <t>The wallets opened, offering 9 - BDT Bangladesh, PHP Philippines, MXN Mexico, BRL Brazil, VND Vietnam, IDR Indonesia, THB Thailand, MYR Malaysia, HKD Hong Kong</t>
        </is>
      </c>
      <c r="K17" s="74" t="inlineStr">
        <is>
          <t>PASS</t>
        </is>
      </c>
      <c r="L17" s="74" t="inlineStr">
        <is>
          <t>MEDIUM</t>
        </is>
      </c>
      <c r="M17" s="58" t="inlineStr">
        <is>
          <t>KIMA</t>
        </is>
      </c>
      <c r="N17" s="103" t="n">
        <v>46273</v>
      </c>
      <c r="O17" s="53" t="inlineStr">
        <is>
          <t>Window OS</t>
        </is>
      </c>
      <c r="P17" s="76" t="inlineStr">
        <is>
          <t>Chromium</t>
        </is>
      </c>
      <c r="Q17" s="70" t="n"/>
      <c r="R17" s="70" t="n"/>
      <c r="S17" s="77" t="inlineStr">
        <is>
          <t>Run</t>
        </is>
      </c>
    </row>
    <row r="18" ht="15.75" customHeight="1" s="51">
      <c r="A18" s="67" t="inlineStr">
        <is>
          <t>TC_010</t>
        </is>
      </c>
      <c r="B18" s="79" t="inlineStr">
        <is>
          <t>Commission Detail</t>
        </is>
      </c>
      <c r="C18" s="72" t="inlineStr">
        <is>
          <t>A commission opens its own detail</t>
        </is>
      </c>
      <c r="D18" s="70" t="inlineStr">
        <is>
          <t>Positive</t>
        </is>
      </c>
      <c r="E18" s="71" t="inlineStr">
        <is>
          <t>User is on the Commission Listing</t>
        </is>
      </c>
      <c r="F18" s="72" t="inlineStr">
        <is>
          <t>-Given I log into the UMPay application with valid email credentials using "&lt;row&gt;" of "&lt;excelSheetName&gt;" of "&lt;excelFileName&gt;"
-When I open the Commission Listing
-And I open the first commission
-Then its detail should carry "Reference No, Currency, Order Type, Commission Fee, Created Date"</t>
        </is>
      </c>
      <c r="G18" s="72" t="inlineStr">
        <is>
          <t>Valid UMPay user</t>
        </is>
      </c>
      <c r="H18" s="73" t="inlineStr">
        <is>
          <t>Pressing a commission should open its detail, carrying the Reference No, Currency, Order Type, Commission Fee and Created Date</t>
        </is>
      </c>
      <c r="I18" s="73" t="inlineStr">
        <is>
          <t>The commission's detail is open</t>
        </is>
      </c>
      <c r="J18" s="73" t="inlineStr">
        <is>
          <t>Pressing one opened Commission View Detail: Reference No 983389494646542620, Currency HKD, Order Type transfer, Commission Fee 1, Created Date 2026-09-04 15:18:47</t>
        </is>
      </c>
      <c r="K18" s="74" t="inlineStr">
        <is>
          <t>PASS</t>
        </is>
      </c>
      <c r="L18" s="74" t="inlineStr">
        <is>
          <t>HIGH</t>
        </is>
      </c>
      <c r="M18" s="58" t="inlineStr">
        <is>
          <t>KIMA</t>
        </is>
      </c>
      <c r="N18" s="103" t="n">
        <v>46273</v>
      </c>
      <c r="O18" s="53" t="inlineStr">
        <is>
          <t>Window OS</t>
        </is>
      </c>
      <c r="P18" s="76" t="inlineStr">
        <is>
          <t>Chromium</t>
        </is>
      </c>
      <c r="Q18" s="70" t="n"/>
      <c r="R18" s="70" t="n"/>
      <c r="S18" s="77" t="inlineStr">
        <is>
          <t>Run</t>
        </is>
      </c>
    </row>
    <row r="19" ht="15.75" customHeight="1" s="51">
      <c r="A19" s="67" t="inlineStr">
        <is>
          <t>TC_011</t>
        </is>
      </c>
      <c r="B19" s="79" t="inlineStr">
        <is>
          <t>Commission Detail</t>
        </is>
      </c>
      <c r="C19" s="72" t="inlineStr">
        <is>
          <t>A commission's detail offers to be downloaded and shared</t>
        </is>
      </c>
      <c r="D19" s="70" t="inlineStr">
        <is>
          <t>Positive</t>
        </is>
      </c>
      <c r="E19" s="71" t="inlineStr">
        <is>
          <t>The commission's detail is open</t>
        </is>
      </c>
      <c r="F19" s="72" t="inlineStr">
        <is>
          <t>-Given I log into the UMPay application with valid email credentials using "&lt;row&gt;" of "&lt;excelSheetName&gt;" of "&lt;excelFileName&gt;"
-When I open the Commission Listing
-And I open the first commission
-Then the detail should offer "Download, Share"</t>
        </is>
      </c>
      <c r="G19" s="72" t="inlineStr">
        <is>
          <t>Valid UMPay user</t>
        </is>
      </c>
      <c r="H19" s="73" t="inlineStr">
        <is>
          <t>The detail should offer both Download and Share</t>
        </is>
      </c>
      <c r="I19" s="73" t="inlineStr">
        <is>
          <t>The commission's detail is open</t>
        </is>
      </c>
      <c r="J19" s="73" t="inlineStr">
        <is>
          <t>The detail offers both Download and Share</t>
        </is>
      </c>
      <c r="K19" s="74" t="inlineStr">
        <is>
          <t>PASS</t>
        </is>
      </c>
      <c r="L19" s="74" t="inlineStr">
        <is>
          <t>MEDIUM</t>
        </is>
      </c>
      <c r="M19" s="58" t="inlineStr">
        <is>
          <t>KIMA</t>
        </is>
      </c>
      <c r="N19" s="103" t="n">
        <v>46273</v>
      </c>
      <c r="O19" s="53" t="inlineStr">
        <is>
          <t>Window OS</t>
        </is>
      </c>
      <c r="P19" s="76" t="inlineStr">
        <is>
          <t>Chromium</t>
        </is>
      </c>
      <c r="Q19" s="70" t="n"/>
      <c r="R19" s="70" t="n"/>
      <c r="S19" s="77" t="inlineStr">
        <is>
          <t>Run</t>
        </is>
      </c>
    </row>
    <row r="20" ht="15.75" customHeight="1" s="51">
      <c r="A20" s="67" t="inlineStr">
        <is>
          <t>TC_012</t>
        </is>
      </c>
      <c r="B20" s="79" t="inlineStr">
        <is>
          <t>Commission Detail</t>
        </is>
      </c>
      <c r="C20" s="72" t="inlineStr">
        <is>
          <t>Closing a commission's detail gives back the listing</t>
        </is>
      </c>
      <c r="D20" s="70" t="inlineStr">
        <is>
          <t>Positive</t>
        </is>
      </c>
      <c r="E20" s="71" t="inlineStr">
        <is>
          <t>The commission's detail is open</t>
        </is>
      </c>
      <c r="F20" s="72" t="inlineStr">
        <is>
          <t>-Given I log into the UMPay application with valid email credentials using "&lt;row&gt;" of "&lt;excelSheetName&gt;" of "&lt;excelFileName&gt;"
-When I open the Commission Listing
-And I open the first commission
-And I close the detail
-Then the commissions should be listed again</t>
        </is>
      </c>
      <c r="G20" s="72" t="inlineStr">
        <is>
          <t>Valid UMPay user</t>
        </is>
      </c>
      <c r="H20" s="73" t="inlineStr">
        <is>
          <t>Closing the detail should give back the listing with everything still on it</t>
        </is>
      </c>
      <c r="I20" s="73" t="inlineStr">
        <is>
          <t>User is on the Commission Listing</t>
        </is>
      </c>
      <c r="J20" s="73" t="inlineStr">
        <is>
          <t>Closing the detail gave back the listing with all 10 still on it</t>
        </is>
      </c>
      <c r="K20" s="74" t="inlineStr">
        <is>
          <t>PASS</t>
        </is>
      </c>
      <c r="L20" s="74" t="inlineStr">
        <is>
          <t>MEDIUM</t>
        </is>
      </c>
      <c r="M20" s="58" t="inlineStr">
        <is>
          <t>KIMA</t>
        </is>
      </c>
      <c r="N20" s="103" t="n">
        <v>46273</v>
      </c>
      <c r="O20" s="53" t="inlineStr">
        <is>
          <t>Window OS</t>
        </is>
      </c>
      <c r="P20" s="76" t="inlineStr">
        <is>
          <t>Chromium</t>
        </is>
      </c>
      <c r="Q20" s="70" t="n"/>
      <c r="R20" s="70" t="n"/>
      <c r="S20" s="77" t="inlineStr">
        <is>
          <t>Run</t>
        </is>
      </c>
    </row>
    <row r="21" ht="15.75" customHeight="1" s="51"/>
    <row r="22" ht="15.75" customHeight="1" s="51"/>
  </sheetData>
  <dataValidations count="7">
    <dataValidation sqref="K9:K20" showDropDown="0" showInputMessage="0" showErrorMessage="0" allowBlank="1" type="list">
      <formula1>"PASS,FAIL,PENDING"</formula1>
    </dataValidation>
    <dataValidation sqref="P9:P20" showDropDown="0" showInputMessage="0" showErrorMessage="0" allowBlank="1" type="list">
      <formula1>METADATA!$H$2:$H$8</formula1>
    </dataValidation>
    <dataValidation sqref="O9:O20" showDropDown="0" showInputMessage="0" showErrorMessage="0" allowBlank="1" type="list">
      <formula1>METADATA!$J$2:$J$7</formula1>
    </dataValidation>
    <dataValidation sqref="D9:D20" showDropDown="0" showInputMessage="0" showErrorMessage="0" allowBlank="1" type="list">
      <formula1>METADATA!$N$2:$N$3</formula1>
    </dataValidation>
    <dataValidation sqref="B4 M9:M20" showDropDown="0" showInputMessage="0" showErrorMessage="0" allowBlank="1" type="list">
      <formula1>METADATA!$F$2:$F$4</formula1>
    </dataValidation>
    <dataValidation sqref="L9:L20"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 xmlns:r="http://schemas.openxmlformats.org/officeDocument/2006/relationships" ref="S17" r:id="rId9"/>
    <hyperlink xmlns:r="http://schemas.openxmlformats.org/officeDocument/2006/relationships" ref="S18" r:id="rId10"/>
    <hyperlink xmlns:r="http://schemas.openxmlformats.org/officeDocument/2006/relationships" ref="S19" r:id="rId11"/>
    <hyperlink xmlns:r="http://schemas.openxmlformats.org/officeDocument/2006/relationships" ref="S20" r:id="rId12"/>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T14"/>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Fee Listing</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46273</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46273</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Fee Listing</t>
        </is>
      </c>
      <c r="C9" s="72" t="inlineStr">
        <is>
          <t>The profile drawer opens the fee listing</t>
        </is>
      </c>
      <c r="D9" s="70" t="inlineStr">
        <is>
          <t>Positive</t>
        </is>
      </c>
      <c r="E9" s="71" t="inlineStr">
        <is>
          <t>User is signed in</t>
        </is>
      </c>
      <c r="F9" s="72" t="inlineStr">
        <is>
          <t>-Given I log into the UMPay application with valid email credentials using "&lt;row&gt;" of "&lt;excelSheetName&gt;" of "&lt;excelFileName&gt;"
-When I open the Fee Listing
-Then the fee listing should be shown</t>
        </is>
      </c>
      <c r="G9" s="72" t="inlineStr">
        <is>
          <t>Valid UMPay user</t>
        </is>
      </c>
      <c r="H9" s="73" t="inlineStr">
        <is>
          <t>The Fee Listing should open from the profile drawer, offering the currencies the fees can be asked for</t>
        </is>
      </c>
      <c r="I9" s="73" t="inlineStr">
        <is>
          <t>User is on the Fee Listing</t>
        </is>
      </c>
      <c r="J9" s="73" t="inlineStr">
        <is>
          <t>Opened /customer/fee, offering BDT, BRL, HKD, IDR, MXN, MYR, PHP, THB, USD, USDT and VND</t>
        </is>
      </c>
      <c r="K9" s="74" t="inlineStr">
        <is>
          <t>PASS</t>
        </is>
      </c>
      <c r="L9" s="74" t="inlineStr">
        <is>
          <t>HIGH</t>
        </is>
      </c>
      <c r="M9" s="58" t="inlineStr">
        <is>
          <t>KIMA</t>
        </is>
      </c>
      <c r="N9" s="103" t="n">
        <v>46273</v>
      </c>
      <c r="O9" s="53" t="inlineStr">
        <is>
          <t>Window OS</t>
        </is>
      </c>
      <c r="P9" s="76" t="inlineStr">
        <is>
          <t>Chromium</t>
        </is>
      </c>
      <c r="Q9" s="70" t="n"/>
      <c r="R9" s="70" t="n"/>
      <c r="S9" s="77" t="inlineStr">
        <is>
          <t>Run</t>
        </is>
      </c>
    </row>
    <row r="10" ht="15.75" customHeight="1" s="51">
      <c r="A10" s="67" t="inlineStr">
        <is>
          <t>TC_002</t>
        </is>
      </c>
      <c r="B10" s="79" t="inlineStr">
        <is>
          <t>Fee Listing</t>
        </is>
      </c>
      <c r="C10" s="72" t="inlineStr">
        <is>
          <t>Every currency the platform deals in can be asked about</t>
        </is>
      </c>
      <c r="D10" s="70" t="inlineStr">
        <is>
          <t>Positive</t>
        </is>
      </c>
      <c r="E10" s="71" t="inlineStr">
        <is>
          <t>User is on the Fee Listing</t>
        </is>
      </c>
      <c r="F10" s="72" t="inlineStr">
        <is>
          <t>-Given I log into the UMPay application with valid email credentials using "&lt;row&gt;" of "&lt;excelSheetName&gt;" of "&lt;excelFileName&gt;"
-When I open the Fee Listing
-Then the currencies offered should be "BDT, BRL, HKD, IDR, MXN, MYR, PHP, THB, USD, USDT, VND"</t>
        </is>
      </c>
      <c r="G10" s="72" t="inlineStr">
        <is>
          <t>Valid UMPay user</t>
        </is>
      </c>
      <c r="H10" s="73" t="inlineStr">
        <is>
          <t>The page should offer BDT, BRL, HKD, IDR, MXN, MYR, PHP, THB, USD, USDT and VND</t>
        </is>
      </c>
      <c r="I10" s="73" t="inlineStr">
        <is>
          <t>User is on the Fee Listing</t>
        </is>
      </c>
      <c r="J10" s="73" t="inlineStr">
        <is>
          <t>All 11 were offered - BDT, BRL, HKD, IDR, MXN, MYR, PHP, THB, USD, USDT, VND</t>
        </is>
      </c>
      <c r="K10" s="74" t="inlineStr">
        <is>
          <t>PASS</t>
        </is>
      </c>
      <c r="L10" s="74" t="inlineStr">
        <is>
          <t>HIGH</t>
        </is>
      </c>
      <c r="M10" s="58" t="inlineStr">
        <is>
          <t>KIMA</t>
        </is>
      </c>
      <c r="N10" s="103" t="n">
        <v>46273</v>
      </c>
      <c r="O10" s="53" t="inlineStr">
        <is>
          <t>Window OS</t>
        </is>
      </c>
      <c r="P10" s="76" t="inlineStr">
        <is>
          <t>Chromium</t>
        </is>
      </c>
      <c r="Q10" s="70" t="n"/>
      <c r="R10" s="70" t="n"/>
      <c r="S10" s="77" t="inlineStr">
        <is>
          <t>Run</t>
        </is>
      </c>
    </row>
    <row r="11" ht="15.75" customHeight="1" s="51">
      <c r="A11" s="67" t="inlineStr">
        <is>
          <t>TC_003</t>
        </is>
      </c>
      <c r="B11" s="79" t="inlineStr">
        <is>
          <t>Fee Listing</t>
        </is>
      </c>
      <c r="C11" s="72" t="inlineStr">
        <is>
          <t>Each currency is offered exactly once</t>
        </is>
      </c>
      <c r="D11" s="70" t="inlineStr">
        <is>
          <t>Positive</t>
        </is>
      </c>
      <c r="E11" s="71" t="inlineStr">
        <is>
          <t>User is on the Fee Listing</t>
        </is>
      </c>
      <c r="F11" s="72" t="inlineStr">
        <is>
          <t>-Given I log into the UMPay application with valid email credentials using "&lt;row&gt;" of "&lt;excelSheetName&gt;" of "&lt;excelFileName&gt;"
-When I open the Fee Listing
-Then each currency should be offered exactly once</t>
        </is>
      </c>
      <c r="G11" s="72" t="inlineStr">
        <is>
          <t>Valid UMPay user</t>
        </is>
      </c>
      <c r="H11" s="73" t="inlineStr">
        <is>
          <t>No currency should be listed twice, since two entries for one currency could answer differently</t>
        </is>
      </c>
      <c r="I11" s="73" t="inlineStr">
        <is>
          <t>User is on the Fee Listing</t>
        </is>
      </c>
      <c r="J11" s="73" t="inlineStr">
        <is>
          <t>All 11 currencies appear once each, none repeated</t>
        </is>
      </c>
      <c r="K11" s="74" t="inlineStr">
        <is>
          <t>PASS</t>
        </is>
      </c>
      <c r="L11" s="74" t="inlineStr">
        <is>
          <t>MEDIUM</t>
        </is>
      </c>
      <c r="M11" s="58" t="inlineStr">
        <is>
          <t>KIMA</t>
        </is>
      </c>
      <c r="N11" s="103" t="n">
        <v>46273</v>
      </c>
      <c r="O11" s="53" t="inlineStr">
        <is>
          <t>Window OS</t>
        </is>
      </c>
      <c r="P11" s="76" t="inlineStr">
        <is>
          <t>Chromium</t>
        </is>
      </c>
      <c r="Q11" s="70" t="n"/>
      <c r="R11" s="70" t="n"/>
      <c r="S11" s="77" t="inlineStr">
        <is>
          <t>Run</t>
        </is>
      </c>
    </row>
    <row r="12" ht="15.75" customHeight="1" s="51">
      <c r="A12" s="67" t="inlineStr">
        <is>
          <t>TC_004</t>
        </is>
      </c>
      <c r="B12" s="79" t="inlineStr">
        <is>
          <t>Fee Listing</t>
        </is>
      </c>
      <c r="C12" s="72" t="inlineStr">
        <is>
          <t>The page asks which currency the fees are wanted for</t>
        </is>
      </c>
      <c r="D12" s="70" t="inlineStr">
        <is>
          <t>Positive</t>
        </is>
      </c>
      <c r="E12" s="71" t="inlineStr">
        <is>
          <t>User is on the Fee Listing</t>
        </is>
      </c>
      <c r="F12" s="72" t="inlineStr">
        <is>
          <t>-Given I log into the UMPay application with valid email credentials using "&lt;row&gt;" of "&lt;excelSheetName&gt;" of "&lt;excelFileName&gt;"
-When I open the Fee Listing
-Then it should ask which currency the fees are wanted for</t>
        </is>
      </c>
      <c r="G12" s="72" t="inlineStr">
        <is>
          <t>Valid UMPay user</t>
        </is>
      </c>
      <c r="H12" s="73" t="inlineStr">
        <is>
          <t>The page should say what the list of currencies is for</t>
        </is>
      </c>
      <c r="I12" s="73" t="inlineStr">
        <is>
          <t>User is on the Fee Listing</t>
        </is>
      </c>
      <c r="J12" s="73" t="inlineStr">
        <is>
          <t>The page heads the list with "Currency", so the list says what it is for</t>
        </is>
      </c>
      <c r="K12" s="74" t="inlineStr">
        <is>
          <t>PASS</t>
        </is>
      </c>
      <c r="L12" s="74" t="inlineStr">
        <is>
          <t>MEDIUM</t>
        </is>
      </c>
      <c r="M12" s="58" t="inlineStr">
        <is>
          <t>KIMA</t>
        </is>
      </c>
      <c r="N12" s="103" t="n">
        <v>46273</v>
      </c>
      <c r="O12" s="53" t="inlineStr">
        <is>
          <t>Window OS</t>
        </is>
      </c>
      <c r="P12" s="76" t="inlineStr">
        <is>
          <t>Chromium</t>
        </is>
      </c>
      <c r="Q12" s="70" t="n"/>
      <c r="R12" s="70" t="n"/>
      <c r="S12" s="77" t="inlineStr">
        <is>
          <t>Run</t>
        </is>
      </c>
    </row>
    <row r="13" ht="15.75" customHeight="1" s="51">
      <c r="A13" s="67" t="inlineStr">
        <is>
          <t>TC_005</t>
        </is>
      </c>
      <c r="B13" s="79" t="inlineStr">
        <is>
          <t>Fee Listing</t>
        </is>
      </c>
      <c r="C13" s="72" t="inlineStr">
        <is>
          <t>The currency that has been chosen is shown as chosen</t>
        </is>
      </c>
      <c r="D13" s="70" t="inlineStr">
        <is>
          <t>Negative</t>
        </is>
      </c>
      <c r="E13" s="71" t="inlineStr">
        <is>
          <t>User is on the Fee Listing</t>
        </is>
      </c>
      <c r="F13" s="72" t="inlineStr">
        <is>
          <t>-Given I log into the UMPay application with valid email credentials using "&lt;row&gt;" of "&lt;excelSheetName&gt;" of "&lt;excelFileName&gt;"
-When I open the Fee Listing
-And I ask for the fees in the currency named in "&lt;row&gt;" of "&lt;excelSheetName&gt;" of "&lt;excelFileName&gt;"
-Then that currency should be shown as the one chosen</t>
        </is>
      </c>
      <c r="G13" s="72" t="inlineStr">
        <is>
          <t>Currency: HKD</t>
        </is>
      </c>
      <c r="H13" s="73" t="inlineStr">
        <is>
          <t>Pressing a currency should mark it as the one chosen, so somebody can see that the press was heard</t>
        </is>
      </c>
      <c r="I13" s="73" t="inlineStr">
        <is>
          <t>User is on the Fee Listing</t>
        </is>
      </c>
      <c r="J13" s="73" t="inlineStr">
        <is>
          <t>DEFECT - pressing HKD leaves every one of the 11 rows drawn exactly as it was, so nothing on the screen says the press was heard. The row also holds a radio, but it is decorative: it sits behind the row with a negative z-index and carries neither a name nor a value, so it can be neither clicked nor checked</t>
        </is>
      </c>
      <c r="K13" s="74" t="inlineStr">
        <is>
          <t>FAIL</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Fee Listing</t>
        </is>
      </c>
      <c r="C14" s="72" t="inlineStr">
        <is>
          <t>Choosing a currency shows what it costs to move money in it</t>
        </is>
      </c>
      <c r="D14" s="70" t="inlineStr">
        <is>
          <t>Negative</t>
        </is>
      </c>
      <c r="E14" s="71" t="inlineStr">
        <is>
          <t>User is on the Fee Listing</t>
        </is>
      </c>
      <c r="F14" s="72" t="inlineStr">
        <is>
          <t>-Given I log into the UMPay application with valid email credentials using "&lt;row&gt;" of "&lt;excelSheetName&gt;" of "&lt;excelFileName&gt;"
-When I open the Fee Listing
-And I ask for the fees in the currency named in "&lt;row&gt;" of "&lt;excelSheetName&gt;" of "&lt;excelFileName&gt;"
-Then it should show what that currency costs</t>
        </is>
      </c>
      <c r="G14" s="72" t="inlineStr">
        <is>
          <t>Currency: HKD</t>
        </is>
      </c>
      <c r="H14" s="73" t="inlineStr">
        <is>
          <t>Choosing a currency should show the fees for it - the one thing somebody comes to this page to find out</t>
        </is>
      </c>
      <c r="I14" s="73" t="inlineStr">
        <is>
          <t>User is on the Fee Listing</t>
        </is>
      </c>
      <c r="J14" s="73" t="inlineStr">
        <is>
          <t>DEFECT - after choosing HKD the page shows no fee, no charge, no rate and no percentage of any kind. All it holds is the heading, the word Currency and the 11 currency names. The page does ask the server for /api/agents/fees as it loads, but nothing is ever put on the screen</t>
        </is>
      </c>
      <c r="K14" s="74" t="inlineStr">
        <is>
          <t>FAIL</t>
        </is>
      </c>
      <c r="L14" s="74" t="inlineStr">
        <is>
          <t>HIGH</t>
        </is>
      </c>
      <c r="M14" s="58" t="inlineStr">
        <is>
          <t>KIMA</t>
        </is>
      </c>
      <c r="N14" s="103" t="n">
        <v>46273</v>
      </c>
      <c r="O14" s="53" t="inlineStr">
        <is>
          <t>Window OS</t>
        </is>
      </c>
      <c r="P14" s="76" t="inlineStr">
        <is>
          <t>Chromium</t>
        </is>
      </c>
      <c r="Q14" s="70" t="n"/>
      <c r="R14" s="70" t="n"/>
      <c r="S14" s="77" t="inlineStr">
        <is>
          <t>Run</t>
        </is>
      </c>
    </row>
    <row r="15" ht="15.75" customHeight="1" s="51"/>
    <row r="16" ht="15.75" customHeight="1" s="51"/>
    <row r="17" ht="15.75" customHeight="1" s="51"/>
    <row r="18" ht="15.75" customHeight="1" s="51"/>
    <row r="19" ht="15.75" customHeight="1" s="51"/>
    <row r="20" ht="15.75" customHeight="1" s="51"/>
    <row r="21" ht="15.75" customHeight="1" s="51"/>
    <row r="22" ht="15.75" customHeight="1" s="51"/>
  </sheetData>
  <dataValidations count="7">
    <dataValidation sqref="K9:K14" showDropDown="0" showInputMessage="0" showErrorMessage="0" allowBlank="1" type="list">
      <formula1>"PASS,FAIL,PENDING"</formula1>
    </dataValidation>
    <dataValidation sqref="P9:P14" showDropDown="0" showInputMessage="0" showErrorMessage="0" allowBlank="1" type="list">
      <formula1>METADATA!$H$2:$H$8</formula1>
    </dataValidation>
    <dataValidation sqref="O9:O14" showDropDown="0" showInputMessage="0" showErrorMessage="0" allowBlank="1" type="list">
      <formula1>METADATA!$J$2:$J$7</formula1>
    </dataValidation>
    <dataValidation sqref="D9:D14" showDropDown="0" showInputMessage="0" showErrorMessage="0" allowBlank="1" type="list">
      <formula1>METADATA!$N$2:$N$3</formula1>
    </dataValidation>
    <dataValidation sqref="B4 M9:M14" showDropDown="0" showInputMessage="0" showErrorMessage="0" allowBlank="1" type="list">
      <formula1>METADATA!$F$2:$F$4</formula1>
    </dataValidation>
    <dataValidation sqref="L9:L14"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T14"/>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User List</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46273</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46273</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User List</t>
        </is>
      </c>
      <c r="C9" s="72" t="inlineStr">
        <is>
          <t>The profile drawer opens the user list</t>
        </is>
      </c>
      <c r="D9" s="70" t="inlineStr">
        <is>
          <t>Positive</t>
        </is>
      </c>
      <c r="E9" s="71" t="inlineStr">
        <is>
          <t>User is signed in</t>
        </is>
      </c>
      <c r="F9" s="72" t="inlineStr">
        <is>
          <t>-Given I log into the UMPay application with valid email credentials using "&lt;row&gt;" of "&lt;excelSheetName&gt;" of "&lt;excelFileName&gt;"
-When I open the User List
-Then the people this account has brought should be listed</t>
        </is>
      </c>
      <c r="G9" s="72" t="inlineStr">
        <is>
          <t>Valid UMPay user</t>
        </is>
      </c>
      <c r="H9" s="73" t="inlineStr">
        <is>
          <t>The User List should open from the profile drawer, listing the people this account has brought to UMPay</t>
        </is>
      </c>
      <c r="I9" s="73" t="inlineStr">
        <is>
          <t>User is on the User List</t>
        </is>
      </c>
      <c r="J9" s="73" t="inlineStr">
        <is>
          <t>Opened /customer from the profile drawer. This account has brought 2 people: 000000770850 and 000000364880</t>
        </is>
      </c>
      <c r="K9" s="74" t="inlineStr">
        <is>
          <t>PASS</t>
        </is>
      </c>
      <c r="L9" s="74" t="inlineStr">
        <is>
          <t>HIGH</t>
        </is>
      </c>
      <c r="M9" s="58" t="inlineStr">
        <is>
          <t>KIMA</t>
        </is>
      </c>
      <c r="N9" s="103" t="n">
        <v>46273</v>
      </c>
      <c r="O9" s="53" t="inlineStr">
        <is>
          <t>Window OS</t>
        </is>
      </c>
      <c r="P9" s="76" t="inlineStr">
        <is>
          <t>Chromium</t>
        </is>
      </c>
      <c r="Q9" s="70" t="n"/>
      <c r="R9" s="70" t="n"/>
      <c r="S9" s="77" t="inlineStr">
        <is>
          <t>Run</t>
        </is>
      </c>
    </row>
    <row r="10" ht="15.75" customHeight="1" s="51">
      <c r="A10" s="67" t="inlineStr">
        <is>
          <t>TC_002</t>
        </is>
      </c>
      <c r="B10" s="79" t="inlineStr">
        <is>
          <t>User List</t>
        </is>
      </c>
      <c r="C10" s="72" t="inlineStr">
        <is>
          <t>Every user is listed with a number, a name and a status</t>
        </is>
      </c>
      <c r="D10" s="70" t="inlineStr">
        <is>
          <t>Positive</t>
        </is>
      </c>
      <c r="E10" s="71" t="inlineStr">
        <is>
          <t>User is on the User List</t>
        </is>
      </c>
      <c r="F10" s="72" t="inlineStr">
        <is>
          <t>-Given I log into the UMPay application with valid email credentials using "&lt;row&gt;" of "&lt;excelSheetName&gt;" of "&lt;excelFileName&gt;"
-When I open the User List
-Then every user should be listed with a number, a name and a status</t>
        </is>
      </c>
      <c r="G10" s="72" t="inlineStr">
        <is>
          <t>Valid UMPay user</t>
        </is>
      </c>
      <c r="H10" s="73" t="inlineStr">
        <is>
          <t>Every user should carry an account number, a name and a status, since one listed without a number cannot be asked about and one without a status cannot be told from a suspended account</t>
        </is>
      </c>
      <c r="I10" s="73" t="inlineStr">
        <is>
          <t>User is on the User List</t>
        </is>
      </c>
      <c r="J10" s="73" t="inlineStr">
        <is>
          <t>Both carry all three. 000000770850 goes under Kima_Test123 and reads Unlock; 000000364880 goes under no name of its own, which the page writes as N/A rather than leaving blank, and also reads Unlock</t>
        </is>
      </c>
      <c r="K10" s="74" t="inlineStr">
        <is>
          <t>PASS</t>
        </is>
      </c>
      <c r="L10" s="74" t="inlineStr">
        <is>
          <t>HIGH</t>
        </is>
      </c>
      <c r="M10" s="58" t="inlineStr">
        <is>
          <t>KIMA</t>
        </is>
      </c>
      <c r="N10" s="103" t="n">
        <v>46273</v>
      </c>
      <c r="O10" s="53" t="inlineStr">
        <is>
          <t>Window OS</t>
        </is>
      </c>
      <c r="P10" s="76" t="inlineStr">
        <is>
          <t>Chromium</t>
        </is>
      </c>
      <c r="Q10" s="70" t="n"/>
      <c r="R10" s="70" t="n"/>
      <c r="S10" s="77" t="inlineStr">
        <is>
          <t>Run</t>
        </is>
      </c>
    </row>
    <row r="11" ht="15.75" customHeight="1" s="51">
      <c r="A11" s="67" t="inlineStr">
        <is>
          <t>TC_003</t>
        </is>
      </c>
      <c r="B11" s="79" t="inlineStr">
        <is>
          <t>User List</t>
        </is>
      </c>
      <c r="C11" s="72" t="inlineStr">
        <is>
          <t>Every user is listed under a proper account number</t>
        </is>
      </c>
      <c r="D11" s="70" t="inlineStr">
        <is>
          <t>Positive</t>
        </is>
      </c>
      <c r="E11" s="71" t="inlineStr">
        <is>
          <t>User is on the User List</t>
        </is>
      </c>
      <c r="F11" s="72" t="inlineStr">
        <is>
          <t>-Given I log into the UMPay application with valid email credentials using "&lt;row&gt;" of "&lt;excelSheetName&gt;" of "&lt;excelFileName&gt;"
-When I open the User List
-Then every account number should read as one the platform issues</t>
        </is>
      </c>
      <c r="G11" s="72" t="inlineStr">
        <is>
          <t>Valid UMPay user</t>
        </is>
      </c>
      <c r="H11" s="73" t="inlineStr">
        <is>
          <t>Every account number should be one the platform actually issues rather than a truncation or a placeholder, since it is what somebody quotes to support</t>
        </is>
      </c>
      <c r="I11" s="73" t="inlineStr">
        <is>
          <t>User is on the User List</t>
        </is>
      </c>
      <c r="J11" s="73" t="inlineStr">
        <is>
          <t>Both read as account numbers the platform issues, twelve figures each: 000000770850 and 000000364880</t>
        </is>
      </c>
      <c r="K11" s="74" t="inlineStr">
        <is>
          <t>PASS</t>
        </is>
      </c>
      <c r="L11" s="74" t="inlineStr">
        <is>
          <t>HIGH</t>
        </is>
      </c>
      <c r="M11" s="58" t="inlineStr">
        <is>
          <t>KIMA</t>
        </is>
      </c>
      <c r="N11" s="103" t="n">
        <v>46273</v>
      </c>
      <c r="O11" s="53" t="inlineStr">
        <is>
          <t>Window OS</t>
        </is>
      </c>
      <c r="P11" s="76" t="inlineStr">
        <is>
          <t>Chromium</t>
        </is>
      </c>
      <c r="Q11" s="70" t="n"/>
      <c r="R11" s="70" t="n"/>
      <c r="S11" s="77" t="inlineStr">
        <is>
          <t>Run</t>
        </is>
      </c>
    </row>
    <row r="12" ht="15.75" customHeight="1" s="51">
      <c r="A12" s="67" t="inlineStr">
        <is>
          <t>TC_004</t>
        </is>
      </c>
      <c r="B12" s="79" t="inlineStr">
        <is>
          <t>User List</t>
        </is>
      </c>
      <c r="C12" s="72" t="inlineStr">
        <is>
          <t>Nobody is listed twice</t>
        </is>
      </c>
      <c r="D12" s="70" t="inlineStr">
        <is>
          <t>Positive</t>
        </is>
      </c>
      <c r="E12" s="71" t="inlineStr">
        <is>
          <t>User is on the User List</t>
        </is>
      </c>
      <c r="F12" s="72" t="inlineStr">
        <is>
          <t>-Given I log into the UMPay application with valid email credentials using "&lt;row&gt;" of "&lt;excelSheetName&gt;" of "&lt;excelFileName&gt;"
-When I open the User List
-Then nobody should be listed twice</t>
        </is>
      </c>
      <c r="G12" s="72" t="inlineStr">
        <is>
          <t>Valid UMPay user</t>
        </is>
      </c>
      <c r="H12" s="73" t="inlineStr">
        <is>
          <t>No user should appear more than once, since anybody reading the page would count their commission twice</t>
        </is>
      </c>
      <c r="I12" s="73" t="inlineStr">
        <is>
          <t>User is on the User List</t>
        </is>
      </c>
      <c r="J12" s="73" t="inlineStr">
        <is>
          <t>Both are listed exactly once, so neither would have their commission counted twice</t>
        </is>
      </c>
      <c r="K12" s="74" t="inlineStr">
        <is>
          <t>PASS</t>
        </is>
      </c>
      <c r="L12" s="74" t="inlineStr">
        <is>
          <t>MEDIUM</t>
        </is>
      </c>
      <c r="M12" s="58" t="inlineStr">
        <is>
          <t>KIMA</t>
        </is>
      </c>
      <c r="N12" s="103" t="n">
        <v>46273</v>
      </c>
      <c r="O12" s="53" t="inlineStr">
        <is>
          <t>Window OS</t>
        </is>
      </c>
      <c r="P12" s="76" t="inlineStr">
        <is>
          <t>Chromium</t>
        </is>
      </c>
      <c r="Q12" s="70" t="n"/>
      <c r="R12" s="70" t="n"/>
      <c r="S12" s="77" t="inlineStr">
        <is>
          <t>Run</t>
        </is>
      </c>
    </row>
    <row r="13" ht="15.75" customHeight="1" s="51">
      <c r="A13" s="67" t="inlineStr">
        <is>
          <t>TC_005</t>
        </is>
      </c>
      <c r="B13" s="79" t="inlineStr">
        <is>
          <t>User List</t>
        </is>
      </c>
      <c r="C13" s="72" t="inlineStr">
        <is>
          <t>Every status is one the platform uses</t>
        </is>
      </c>
      <c r="D13" s="70" t="inlineStr">
        <is>
          <t>Positive</t>
        </is>
      </c>
      <c r="E13" s="71" t="inlineStr">
        <is>
          <t>User is on the User List</t>
        </is>
      </c>
      <c r="F13" s="72" t="inlineStr">
        <is>
          <t>-Given I log into the UMPay application with valid email credentials using "&lt;row&gt;" of "&lt;excelSheetName&gt;" of "&lt;excelFileName&gt;"
-When I open the User List
-Then every status should be one of "Unlock, Lock, Locked"</t>
        </is>
      </c>
      <c r="G13" s="72" t="inlineStr">
        <is>
          <t>Status: Unlock, Lock, Locked</t>
        </is>
      </c>
      <c r="H13" s="73" t="inlineStr">
        <is>
          <t>Every status should be a word the platform defines, since a status the page invents would be acted on by somebody who could not know what it meant</t>
        </is>
      </c>
      <c r="I13" s="73" t="inlineStr">
        <is>
          <t>User is on the User List</t>
        </is>
      </c>
      <c r="J13" s="73" t="inlineStr">
        <is>
          <t>Both read Unlock, which is one of the states the platform uses</t>
        </is>
      </c>
      <c r="K13" s="74" t="inlineStr">
        <is>
          <t>PASS</t>
        </is>
      </c>
      <c r="L13" s="74" t="inlineStr">
        <is>
          <t>MEDIUM</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User List</t>
        </is>
      </c>
      <c r="C14" s="72" t="inlineStr">
        <is>
          <t>Nothing on the page can change somebody else's account</t>
        </is>
      </c>
      <c r="D14" s="70" t="inlineStr">
        <is>
          <t>Negative</t>
        </is>
      </c>
      <c r="E14" s="71" t="inlineStr">
        <is>
          <t>User is on the User List</t>
        </is>
      </c>
      <c r="F14" s="72" t="inlineStr">
        <is>
          <t>-Given I log into the UMPay application with valid email credentials using "&lt;row&gt;" of "&lt;excelSheetName&gt;" of "&lt;excelFileName&gt;"
-When I open the User List
-Then there should be nothing here that changes somebody else's account</t>
        </is>
      </c>
      <c r="G14" s="72" t="inlineStr">
        <is>
          <t>Valid UMPay user</t>
        </is>
      </c>
      <c r="H14" s="73" t="inlineStr">
        <is>
          <t>The page should offer nothing that locks, unlocks or removes another person's account, since these are other people's accounts and the page is meant only to be read</t>
        </is>
      </c>
      <c r="I14" s="73" t="inlineStr">
        <is>
          <t>User is on the User List</t>
        </is>
      </c>
      <c r="J14" s="73" t="inlineStr">
        <is>
          <t>Nothing on the page can be pressed. There is no search, no filter and no form, and the status is written in a span rather than offered as a button, so there is no way from here to lock or unlock somebody else's account</t>
        </is>
      </c>
      <c r="K14" s="74" t="inlineStr">
        <is>
          <t>PASS</t>
        </is>
      </c>
      <c r="L14" s="74" t="inlineStr">
        <is>
          <t>HIGH</t>
        </is>
      </c>
      <c r="M14" s="58" t="inlineStr">
        <is>
          <t>KIMA</t>
        </is>
      </c>
      <c r="N14" s="103" t="n">
        <v>46273</v>
      </c>
      <c r="O14" s="53" t="inlineStr">
        <is>
          <t>Window OS</t>
        </is>
      </c>
      <c r="P14" s="76" t="inlineStr">
        <is>
          <t>Chromium</t>
        </is>
      </c>
      <c r="Q14" s="70" t="n"/>
      <c r="R14" s="70" t="n"/>
      <c r="S14" s="77" t="inlineStr">
        <is>
          <t>Run</t>
        </is>
      </c>
    </row>
    <row r="15" ht="15.75" customHeight="1" s="51"/>
    <row r="16" ht="15.75" customHeight="1" s="51"/>
    <row r="17" ht="15.75" customHeight="1" s="51"/>
    <row r="18" ht="15.75" customHeight="1" s="51"/>
    <row r="19" ht="15.75" customHeight="1" s="51"/>
    <row r="20" ht="15.75" customHeight="1" s="51"/>
    <row r="21" ht="15.75" customHeight="1" s="51"/>
    <row r="22" ht="15.75" customHeight="1" s="51"/>
  </sheetData>
  <dataValidations count="7">
    <dataValidation sqref="K9:K14" showDropDown="0" showInputMessage="0" showErrorMessage="0" allowBlank="1" type="list">
      <formula1>"PASS,FAIL,PENDING"</formula1>
    </dataValidation>
    <dataValidation sqref="P9:P14" showDropDown="0" showInputMessage="0" showErrorMessage="0" allowBlank="1" type="list">
      <formula1>METADATA!$H$2:$H$8</formula1>
    </dataValidation>
    <dataValidation sqref="O9:O14" showDropDown="0" showInputMessage="0" showErrorMessage="0" allowBlank="1" type="list">
      <formula1>METADATA!$J$2:$J$7</formula1>
    </dataValidation>
    <dataValidation sqref="D9:D14" showDropDown="0" showInputMessage="0" showErrorMessage="0" allowBlank="1" type="list">
      <formula1>METADATA!$N$2:$N$3</formula1>
    </dataValidation>
    <dataValidation sqref="B4 M9:M14" showDropDown="0" showInputMessage="0" showErrorMessage="0" allowBlank="1" type="list">
      <formula1>METADATA!$F$2:$F$4</formula1>
    </dataValidation>
    <dataValidation sqref="L9:L14"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T16"/>
  <sheetViews>
    <sheetView workbookViewId="0">
      <selection activeCell="A1" sqref="A1"/>
    </sheetView>
  </sheetViews>
  <sheetFormatPr baseColWidth="8" defaultRowHeight="15.75" zeroHeight="0" outlineLevelRow="0"/>
  <cols>
    <col width="12.63" customWidth="1" style="50" min="1" max="1025"/>
    <col width="10" customWidth="1" style="51" min="19" max="19"/>
  </cols>
  <sheetData>
    <row r="1" ht="15.75" customHeight="1" s="51">
      <c r="A1" s="52" t="inlineStr">
        <is>
          <t>Project Name</t>
        </is>
      </c>
      <c r="B1" s="53" t="inlineStr">
        <is>
          <t>UMPay</t>
        </is>
      </c>
      <c r="D1" s="54" t="n"/>
      <c r="H1" s="55" t="n"/>
      <c r="K1" s="56" t="n"/>
      <c r="L1" s="54" t="n"/>
      <c r="M1" s="54" t="n"/>
    </row>
    <row r="2" ht="15.75" customHeight="1" s="51">
      <c r="A2" s="57" t="inlineStr">
        <is>
          <t>Module/Feature Name</t>
        </is>
      </c>
      <c r="B2" s="58" t="inlineStr">
        <is>
          <t>Home</t>
        </is>
      </c>
      <c r="D2" s="54" t="n"/>
      <c r="K2" s="56" t="n"/>
      <c r="L2" s="54" t="n"/>
      <c r="M2" s="54" t="n"/>
      <c r="N2" s="54" t="n"/>
      <c r="P2" s="59" t="inlineStr">
        <is>
          <t>HIGH</t>
        </is>
      </c>
      <c r="Q2" s="59" t="inlineStr">
        <is>
          <t>MEDIUM</t>
        </is>
      </c>
      <c r="R2" s="59" t="inlineStr">
        <is>
          <t>LOW</t>
        </is>
      </c>
    </row>
    <row r="3" ht="15.75" customHeight="1" s="51">
      <c r="A3" s="57" t="inlineStr">
        <is>
          <t>Reference Document</t>
        </is>
      </c>
      <c r="B3" s="58" t="n"/>
      <c r="D3" s="54" t="n"/>
      <c r="N3" s="60" t="inlineStr">
        <is>
          <t>PASS</t>
        </is>
      </c>
      <c r="O3" s="61">
        <f>COUNTIF(K:K,"PASS")</f>
        <v/>
      </c>
      <c r="P3" s="61">
        <f>COUNTIFS(K:K,"PASS",L:L,"HIGH")</f>
        <v/>
      </c>
      <c r="Q3" s="61">
        <f>COUNTIFS(K:K,"PASS",L:L,"MEDIUM")</f>
        <v/>
      </c>
      <c r="R3" s="61">
        <f>COUNTIFS(K:K,"PASS",L:L,"LOW")</f>
        <v/>
      </c>
    </row>
    <row r="4" ht="15.75" customHeight="1" s="51">
      <c r="A4" s="57" t="inlineStr">
        <is>
          <t>Created By</t>
        </is>
      </c>
      <c r="B4" s="53" t="inlineStr">
        <is>
          <t>KIMA</t>
        </is>
      </c>
      <c r="D4" s="54" t="n"/>
      <c r="N4" s="60" t="inlineStr">
        <is>
          <t>FAIL</t>
        </is>
      </c>
      <c r="O4" s="62">
        <f>COUNTIF(K:K,"FAIL")</f>
        <v/>
      </c>
      <c r="P4" s="62">
        <f>COUNTIFS(K:K,"FAIL",L:L,"HIGH")</f>
        <v/>
      </c>
      <c r="Q4" s="62">
        <f>COUNTIFS(K:K,"FAIL",L:L,"MEDIUM")</f>
        <v/>
      </c>
      <c r="R4" s="62">
        <f>COUNTIFS(K:K,"FAIL",L:L,"LOW")</f>
        <v/>
      </c>
    </row>
    <row r="5" ht="15.75" customHeight="1" s="51">
      <c r="A5" s="57" t="inlineStr">
        <is>
          <t>Date of Creation</t>
        </is>
      </c>
      <c r="B5" s="63" t="n">
        <v>46273</v>
      </c>
      <c r="D5" s="54" t="n"/>
      <c r="N5" s="60" t="inlineStr">
        <is>
          <t>PENDING</t>
        </is>
      </c>
      <c r="O5" s="64">
        <f>COUNTIF(K:K,"PENDING")</f>
        <v/>
      </c>
      <c r="P5" s="64">
        <f>COUNTIFS(K:K,"PENDING",L:L,"HIGH")</f>
        <v/>
      </c>
      <c r="Q5" s="64">
        <f>COUNTIFS(K:K,"PENDING",L:L,"MEDIUM")</f>
        <v/>
      </c>
      <c r="R5" s="64">
        <f>COUNTIFS(K:K,"PENDING",L:L,"LOW")</f>
        <v/>
      </c>
    </row>
    <row r="6" ht="15.75" customHeight="1" s="51">
      <c r="A6" s="57" t="inlineStr">
        <is>
          <t>Date of Review</t>
        </is>
      </c>
      <c r="B6" s="63" t="n">
        <v>46273</v>
      </c>
      <c r="D6" s="54" t="n"/>
      <c r="H6" s="55" t="n"/>
    </row>
    <row r="7" ht="20.25" customHeight="1" s="51">
      <c r="D7" s="54" t="n"/>
      <c r="H7" s="55" t="n"/>
    </row>
    <row r="8" ht="15.75" customHeight="1" s="51">
      <c r="A8" s="65" t="inlineStr">
        <is>
          <t>TEST CASE ID</t>
        </is>
      </c>
      <c r="B8" s="65" t="inlineStr">
        <is>
          <t>TEST SCENARIO</t>
        </is>
      </c>
      <c r="C8" s="65" t="inlineStr">
        <is>
          <t>TEST CASE</t>
        </is>
      </c>
      <c r="D8" s="65" t="inlineStr">
        <is>
          <t>TEST CATEGORY</t>
        </is>
      </c>
      <c r="E8" s="65" t="inlineStr">
        <is>
          <t>PRE-CONDITION</t>
        </is>
      </c>
      <c r="F8" s="65" t="inlineStr">
        <is>
          <t>TEST STEPS</t>
        </is>
      </c>
      <c r="G8" s="65" t="inlineStr">
        <is>
          <t>TEST DATA</t>
        </is>
      </c>
      <c r="H8" s="65" t="inlineStr">
        <is>
          <t>EXPECTED RESULTS</t>
        </is>
      </c>
      <c r="I8" s="65" t="inlineStr">
        <is>
          <t>POST CONDITION</t>
        </is>
      </c>
      <c r="J8" s="65" t="inlineStr">
        <is>
          <t>ACTUAL RESULT</t>
        </is>
      </c>
      <c r="K8" s="65" t="inlineStr">
        <is>
          <t>STATUS</t>
        </is>
      </c>
      <c r="L8" s="65" t="inlineStr">
        <is>
          <t>PRIORITY</t>
        </is>
      </c>
      <c r="M8" s="65" t="inlineStr">
        <is>
          <t>TESTER</t>
        </is>
      </c>
      <c r="N8" s="65" t="inlineStr">
        <is>
          <t>TEST DATE</t>
        </is>
      </c>
      <c r="O8" s="65" t="inlineStr">
        <is>
          <t>DEVICE</t>
        </is>
      </c>
      <c r="P8" s="65" t="inlineStr">
        <is>
          <t>BROWSER</t>
        </is>
      </c>
      <c r="Q8" s="65" t="inlineStr">
        <is>
          <t>ISSUE LINK</t>
        </is>
      </c>
      <c r="R8" s="65" t="inlineStr">
        <is>
          <t>COMMENT</t>
        </is>
      </c>
      <c r="S8" s="66" t="inlineStr">
        <is>
          <t>Run</t>
        </is>
      </c>
    </row>
    <row r="9" ht="15.75" customHeight="1" s="51">
      <c r="A9" s="67" t="inlineStr">
        <is>
          <t>TC_001</t>
        </is>
      </c>
      <c r="B9" s="79" t="inlineStr">
        <is>
          <t>Home</t>
        </is>
      </c>
      <c r="C9" s="72" t="inlineStr">
        <is>
          <t>Signing in lands on the account's own home page</t>
        </is>
      </c>
      <c r="D9" s="70" t="inlineStr">
        <is>
          <t>Positive</t>
        </is>
      </c>
      <c r="E9" s="71" t="inlineStr">
        <is>
          <t>User has valid credentials</t>
        </is>
      </c>
      <c r="F9" s="72" t="inlineStr">
        <is>
          <t>-Given I log into the UMPay application with valid email credentials using "&lt;row&gt;" of "&lt;excelSheetName&gt;" of "&lt;excelFileName&gt;"
-When I am on the home page
-Then the home page should show the account's total and its wallets</t>
        </is>
      </c>
      <c r="G9" s="72" t="inlineStr">
        <is>
          <t>Valid UMPay user</t>
        </is>
      </c>
      <c r="H9" s="73" t="inlineStr">
        <is>
          <t>Signing in should land on the home page, showing what the account comes to and the wallets it holds</t>
        </is>
      </c>
      <c r="I9" s="73" t="inlineStr">
        <is>
          <t>User is on the home page</t>
        </is>
      </c>
      <c r="J9" s="73" t="inlineStr">
        <is>
          <t>The home page opened on "Total in HKD:" with three wallets listed and the product name in the sidebar</t>
        </is>
      </c>
      <c r="K9" s="74" t="inlineStr">
        <is>
          <t>PASS</t>
        </is>
      </c>
      <c r="L9" s="74" t="inlineStr">
        <is>
          <t>HIGH</t>
        </is>
      </c>
      <c r="M9" s="58" t="inlineStr">
        <is>
          <t>KIMA</t>
        </is>
      </c>
      <c r="N9" s="103" t="n">
        <v>46273</v>
      </c>
      <c r="O9" s="53" t="inlineStr">
        <is>
          <t>Window OS</t>
        </is>
      </c>
      <c r="P9" s="76" t="inlineStr">
        <is>
          <t>Chromium</t>
        </is>
      </c>
      <c r="Q9" s="70" t="n"/>
      <c r="R9" s="70" t="n"/>
      <c r="S9" s="77" t="inlineStr">
        <is>
          <t>Run</t>
        </is>
      </c>
    </row>
    <row r="10" ht="15.75" customHeight="1" s="51">
      <c r="A10" s="67" t="inlineStr">
        <is>
          <t>TC_002</t>
        </is>
      </c>
      <c r="B10" s="79" t="inlineStr">
        <is>
          <t>Home</t>
        </is>
      </c>
      <c r="C10" s="72" t="inlineStr">
        <is>
          <t>The amounts arrive hidden and the eye reveals them</t>
        </is>
      </c>
      <c r="D10" s="70" t="inlineStr">
        <is>
          <t>Positive</t>
        </is>
      </c>
      <c r="E10" s="71" t="inlineStr">
        <is>
          <t>User is on the home page</t>
        </is>
      </c>
      <c r="F10" s="72" t="inlineStr">
        <is>
          <t>-Given I log into the UMPay application with valid email credentials using "&lt;row&gt;" of "&lt;excelSheetName&gt;" of "&lt;excelFileName&gt;"
-When I am on the home page
-Then the amounts should be hidden
-When I reveal the amounts
-Then the amounts should be readable</t>
        </is>
      </c>
      <c r="G10" s="72" t="inlineStr">
        <is>
          <t>Valid UMPay user</t>
        </is>
      </c>
      <c r="H10" s="73" t="inlineStr">
        <is>
          <t>Every figure should arrive hidden, since somebody opening their account in an office does not necessarily want what they hold on the screen behind them, and the eye should reveal them when asked</t>
        </is>
      </c>
      <c r="I10" s="73" t="inlineStr">
        <is>
          <t>The amounts are readable</t>
        </is>
      </c>
      <c r="J10" s="73" t="inlineStr">
        <is>
          <t>Every figure arrived written ******** and pressing the eye revealed them - what is held across the account then read HK$ -10,684.58</t>
        </is>
      </c>
      <c r="K10" s="74" t="inlineStr">
        <is>
          <t>PASS</t>
        </is>
      </c>
      <c r="L10" s="74" t="inlineStr">
        <is>
          <t>HIGH</t>
        </is>
      </c>
      <c r="M10" s="58" t="inlineStr">
        <is>
          <t>KIMA</t>
        </is>
      </c>
      <c r="N10" s="103" t="n">
        <v>46273</v>
      </c>
      <c r="O10" s="53" t="inlineStr">
        <is>
          <t>Window OS</t>
        </is>
      </c>
      <c r="P10" s="76" t="inlineStr">
        <is>
          <t>Chromium</t>
        </is>
      </c>
      <c r="Q10" s="70" t="n"/>
      <c r="R10" s="70" t="n"/>
      <c r="S10" s="77" t="inlineStr">
        <is>
          <t>Run</t>
        </is>
      </c>
    </row>
    <row r="11" ht="15.75" customHeight="1" s="51">
      <c r="A11" s="67" t="inlineStr">
        <is>
          <t>TC_003</t>
        </is>
      </c>
      <c r="B11" s="79" t="inlineStr">
        <is>
          <t>Home</t>
        </is>
      </c>
      <c r="C11" s="72" t="inlineStr">
        <is>
          <t>Show More brings out every wallet the account holds</t>
        </is>
      </c>
      <c r="D11" s="70" t="inlineStr">
        <is>
          <t>Positive</t>
        </is>
      </c>
      <c r="E11" s="71" t="inlineStr">
        <is>
          <t>User is on the home page</t>
        </is>
      </c>
      <c r="F11" s="72" t="inlineStr">
        <is>
          <t>-Given I log into the UMPay application with valid email credentials using "&lt;row&gt;" of "&lt;excelSheetName&gt;" of "&lt;excelFileName&gt;"
-When I am on the home page
-Then the home page should offer to show more wallets
-When I show more wallets
-Then more wallets should be listed than before</t>
        </is>
      </c>
      <c r="G11" s="72" t="inlineStr">
        <is>
          <t>Valid UMPay user</t>
        </is>
      </c>
      <c r="H11" s="73" t="inlineStr">
        <is>
          <t>Show More should bring out the wallets the page holds back, since somebody who cannot reach them cannot see most of what they own</t>
        </is>
      </c>
      <c r="I11" s="73" t="inlineStr">
        <is>
          <t>Every wallet is listed</t>
        </is>
      </c>
      <c r="J11" s="73" t="inlineStr">
        <is>
          <t>Show More took the list from three wallets to ten, so the seven it holds back are reachable</t>
        </is>
      </c>
      <c r="K11" s="74" t="inlineStr">
        <is>
          <t>PASS</t>
        </is>
      </c>
      <c r="L11" s="74" t="inlineStr">
        <is>
          <t>HIGH</t>
        </is>
      </c>
      <c r="M11" s="58" t="inlineStr">
        <is>
          <t>KIMA</t>
        </is>
      </c>
      <c r="N11" s="103" t="n">
        <v>46273</v>
      </c>
      <c r="O11" s="53" t="inlineStr">
        <is>
          <t>Window OS</t>
        </is>
      </c>
      <c r="P11" s="76" t="inlineStr">
        <is>
          <t>Chromium</t>
        </is>
      </c>
      <c r="Q11" s="70" t="n"/>
      <c r="R11" s="70" t="n"/>
      <c r="S11" s="77" t="inlineStr">
        <is>
          <t>Run</t>
        </is>
      </c>
    </row>
    <row r="12" ht="15.75" customHeight="1" s="51">
      <c r="A12" s="67" t="inlineStr">
        <is>
          <t>TC_004</t>
        </is>
      </c>
      <c r="B12" s="79" t="inlineStr">
        <is>
          <t>Home</t>
        </is>
      </c>
      <c r="C12" s="72" t="inlineStr">
        <is>
          <t>Every wallet card names its currency, country, balance and what is held</t>
        </is>
      </c>
      <c r="D12" s="70" t="inlineStr">
        <is>
          <t>Positive</t>
        </is>
      </c>
      <c r="E12" s="71" t="inlineStr">
        <is>
          <t>User is on the home page with every wallet showing</t>
        </is>
      </c>
      <c r="F12" s="72" t="inlineStr">
        <is>
          <t>-Given I log into the UMPay application with valid email credentials using "&lt;row&gt;" of "&lt;excelSheetName&gt;" of "&lt;excelFileName&gt;"
-When I am on the home page
-And I reveal the amounts
-And I show more wallets
-Then every wallet card should name its currency, country, balance and what is held</t>
        </is>
      </c>
      <c r="G12" s="72" t="inlineStr">
        <is>
          <t>Valid UMPay user</t>
        </is>
      </c>
      <c r="H12" s="73" t="inlineStr">
        <is>
          <t>Every card should name its currency, its country, its balance and what is held against it - a card missing its currency cannot be told from another, and one missing its balance is the one thing somebody came to the page to read</t>
        </is>
      </c>
      <c r="I12" s="73" t="inlineStr">
        <is>
          <t>User is on the home page</t>
        </is>
      </c>
      <c r="J12" s="73" t="inlineStr">
        <is>
          <t>All ten cards name a currency, a country, a balance and what is held against them</t>
        </is>
      </c>
      <c r="K12" s="74" t="inlineStr">
        <is>
          <t>PASS</t>
        </is>
      </c>
      <c r="L12" s="74" t="inlineStr">
        <is>
          <t>HIGH</t>
        </is>
      </c>
      <c r="M12" s="58" t="inlineStr">
        <is>
          <t>KIMA</t>
        </is>
      </c>
      <c r="N12" s="103" t="n">
        <v>46273</v>
      </c>
      <c r="O12" s="53" t="inlineStr">
        <is>
          <t>Window OS</t>
        </is>
      </c>
      <c r="P12" s="76" t="inlineStr">
        <is>
          <t>Chromium</t>
        </is>
      </c>
      <c r="Q12" s="70" t="n"/>
      <c r="R12" s="70" t="n"/>
      <c r="S12" s="77" t="inlineStr">
        <is>
          <t>Run</t>
        </is>
      </c>
    </row>
    <row r="13" ht="15.75" customHeight="1" s="51">
      <c r="A13" s="67" t="inlineStr">
        <is>
          <t>TC_005</t>
        </is>
      </c>
      <c r="B13" s="79" t="inlineStr">
        <is>
          <t>Home</t>
        </is>
      </c>
      <c r="C13" s="72" t="inlineStr">
        <is>
          <t>Exactly one wallet is the main wallet and the rest offer to become it</t>
        </is>
      </c>
      <c r="D13" s="70" t="inlineStr">
        <is>
          <t>Positive</t>
        </is>
      </c>
      <c r="E13" s="71" t="inlineStr">
        <is>
          <t>User is on the home page with every wallet showing</t>
        </is>
      </c>
      <c r="F13" s="72" t="inlineStr">
        <is>
          <t>-Given I log into the UMPay application with valid email credentials using "&lt;row&gt;" of "&lt;excelSheetName&gt;" of "&lt;excelFileName&gt;"
-When I am on the home page
-And I show more wallets
-Then exactly one wallet on the home page should be the main wallet
-And every other wallet should offer to become the main one</t>
        </is>
      </c>
      <c r="G13" s="72" t="inlineStr">
        <is>
          <t>Valid UMPay user</t>
        </is>
      </c>
      <c r="H13" s="73" t="inlineStr">
        <is>
          <t>Exactly one wallet should be the main one and every other should offer to become it, since the main wallet is what the transfer, convert and withdraw screens open on</t>
        </is>
      </c>
      <c r="I13" s="73" t="inlineStr">
        <is>
          <t>User is on the home page</t>
        </is>
      </c>
      <c r="J13" s="73" t="inlineStr">
        <is>
          <t>HKD is the main wallet, and all nine others offer to become it</t>
        </is>
      </c>
      <c r="K13" s="74" t="inlineStr">
        <is>
          <t>PASS</t>
        </is>
      </c>
      <c r="L13" s="74" t="inlineStr">
        <is>
          <t>HIGH</t>
        </is>
      </c>
      <c r="M13" s="58" t="inlineStr">
        <is>
          <t>KIMA</t>
        </is>
      </c>
      <c r="N13" s="103" t="n">
        <v>46273</v>
      </c>
      <c r="O13" s="53" t="inlineStr">
        <is>
          <t>Window OS</t>
        </is>
      </c>
      <c r="P13" s="76" t="inlineStr">
        <is>
          <t>Chromium</t>
        </is>
      </c>
      <c r="Q13" s="70" t="n"/>
      <c r="R13" s="70" t="n"/>
      <c r="S13" s="77" t="inlineStr">
        <is>
          <t>Run</t>
        </is>
      </c>
    </row>
    <row r="14" ht="15.75" customHeight="1" s="51">
      <c r="A14" s="67" t="inlineStr">
        <is>
          <t>TC_006</t>
        </is>
      </c>
      <c r="B14" s="79" t="inlineStr">
        <is>
          <t>Home</t>
        </is>
      </c>
      <c r="C14" s="72" t="inlineStr">
        <is>
          <t>The sidebar offers every flow the account can start</t>
        </is>
      </c>
      <c r="D14" s="70" t="inlineStr">
        <is>
          <t>Positive</t>
        </is>
      </c>
      <c r="E14" s="71" t="inlineStr">
        <is>
          <t>User is on the home page</t>
        </is>
      </c>
      <c r="F14" s="72" t="inlineStr">
        <is>
          <t>-Given I log into the UMPay application with valid email credentials using "&lt;row&gt;" of "&lt;excelSheetName&gt;" of "&lt;excelFileName&gt;"
-When I am on the home page
-Then the sidebar should offer "Home, International School Fees, Deposit, Withdraw, Domestic Transfer, Global Transfer, Transfer, Bills, Convert"</t>
        </is>
      </c>
      <c r="G14" s="72" t="inlineStr">
        <is>
          <t>Valid UMPay user</t>
        </is>
      </c>
      <c r="H14" s="73" t="inlineStr">
        <is>
          <t>The sidebar should offer Home, International School Fees, Deposit, Withdraw, Domestic Transfer, Global Transfer, Transfer, Bills and Convert - a flow missing from it is a flow nobody can start</t>
        </is>
      </c>
      <c r="I14" s="73" t="inlineStr">
        <is>
          <t>User is on the home page</t>
        </is>
      </c>
      <c r="J14" s="73" t="inlineStr">
        <is>
          <t>The sidebar offered all nine: Home, International School Fees, Deposit, Withdraw, Domestic Transfer, Global Transfer, Transfer, Bills and Convert</t>
        </is>
      </c>
      <c r="K14" s="74" t="inlineStr">
        <is>
          <t>PASS</t>
        </is>
      </c>
      <c r="L14" s="74" t="inlineStr">
        <is>
          <t>HIGH</t>
        </is>
      </c>
      <c r="M14" s="58" t="inlineStr">
        <is>
          <t>KIMA</t>
        </is>
      </c>
      <c r="N14" s="103" t="n">
        <v>46273</v>
      </c>
      <c r="O14" s="53" t="inlineStr">
        <is>
          <t>Window OS</t>
        </is>
      </c>
      <c r="P14" s="76" t="inlineStr">
        <is>
          <t>Chromium</t>
        </is>
      </c>
      <c r="Q14" s="70" t="n"/>
      <c r="R14" s="70" t="n"/>
      <c r="S14" s="77" t="inlineStr">
        <is>
          <t>Run</t>
        </is>
      </c>
    </row>
    <row r="15" ht="15.75" customHeight="1" s="51">
      <c r="A15" s="67" t="inlineStr">
        <is>
          <t>TC_007</t>
        </is>
      </c>
      <c r="B15" s="79" t="inlineStr">
        <is>
          <t>Home</t>
        </is>
      </c>
      <c r="C15" s="72" t="inlineStr">
        <is>
          <t>What is held against a wallet is never shown as a negative amount</t>
        </is>
      </c>
      <c r="D15" s="70" t="inlineStr">
        <is>
          <t>Negative</t>
        </is>
      </c>
      <c r="E15" s="71" t="inlineStr">
        <is>
          <t>User is on the home page with every wallet showing</t>
        </is>
      </c>
      <c r="F15" s="72" t="inlineStr">
        <is>
          <t>-Given I log into the UMPay application with valid email credentials using "&lt;row&gt;" of "&lt;excelSheetName&gt;" of "&lt;excelFileName&gt;"
-When I am on the home page
-And I reveal the amounts
-And I show more wallets
-Then no wallet should show what is held against it as a negative amount</t>
        </is>
      </c>
      <c r="G15" s="72" t="inlineStr">
        <is>
          <t>Valid UMPay user</t>
        </is>
      </c>
      <c r="H15" s="73" t="inlineStr">
        <is>
          <t>What is held against a wallet should be written as a quantity of money set aside rather than as a negative amount, which reads as money the account is owed</t>
        </is>
      </c>
      <c r="I15" s="73" t="inlineStr">
        <is>
          <t>User is on the home page</t>
        </is>
      </c>
      <c r="J15" s="73" t="inlineStr">
        <is>
          <t>DEFECT - every one of the ten wallets writes what is held against it as a negative amount: HKD -5970.32, IDR -30000, VND -350000, PHP -3282, MYR -60, BDT -14040, USD -292.96, THB -2094.16, MXN -98.08 and BRL -202.4, and the total reads "Total Blocked Amount: HK$ -10,684.58". The wallet page at /v2/wallet writes them the same way, so this is the figure the platform serves rather than a fault in one screen. Money set aside is a quantity, not a debt - a minus in front of it reads as money the account is owed rather than money it cannot spend</t>
        </is>
      </c>
      <c r="K15" s="74" t="inlineStr">
        <is>
          <t>FAIL</t>
        </is>
      </c>
      <c r="L15" s="74" t="inlineStr">
        <is>
          <t>MEDIUM</t>
        </is>
      </c>
      <c r="M15" s="58" t="inlineStr">
        <is>
          <t>KIMA</t>
        </is>
      </c>
      <c r="N15" s="103" t="n">
        <v>46273</v>
      </c>
      <c r="O15" s="53" t="inlineStr">
        <is>
          <t>Window OS</t>
        </is>
      </c>
      <c r="P15" s="76" t="inlineStr">
        <is>
          <t>Chromium</t>
        </is>
      </c>
      <c r="Q15" s="70" t="n"/>
      <c r="R15" s="70" t="n"/>
      <c r="S15" s="77" t="inlineStr">
        <is>
          <t>Run</t>
        </is>
      </c>
    </row>
    <row r="16" ht="15.75" customHeight="1" s="51">
      <c r="A16" s="67" t="inlineStr">
        <is>
          <t>TC_008</t>
        </is>
      </c>
      <c r="B16" s="79" t="inlineStr">
        <is>
          <t>Home</t>
        </is>
      </c>
      <c r="C16" s="72" t="inlineStr">
        <is>
          <t>Customer Service can be reached from the home page</t>
        </is>
      </c>
      <c r="D16" s="70" t="inlineStr">
        <is>
          <t>Positive</t>
        </is>
      </c>
      <c r="E16" s="71" t="inlineStr">
        <is>
          <t>User is on the home page</t>
        </is>
      </c>
      <c r="F16" s="72" t="inlineStr">
        <is>
          <t>-Given I log into the UMPay application with valid email credentials using "&lt;row&gt;" of "&lt;excelSheetName&gt;" of "&lt;excelFileName&gt;"
-When I am on the home page
-Then Customer Service should be offered on the home page</t>
        </is>
      </c>
      <c r="G16" s="72" t="inlineStr">
        <is>
          <t>Valid UMPay user</t>
        </is>
      </c>
      <c r="H16" s="73" t="inlineStr">
        <is>
          <t>Customer Service should be offered on the home page, since somebody whose account is not behaving is on this page when they need help</t>
        </is>
      </c>
      <c r="I16" s="73" t="inlineStr">
        <is>
          <t>User is on the home page</t>
        </is>
      </c>
      <c r="J16" s="73" t="inlineStr">
        <is>
          <t>Customer Service is offered on the home page</t>
        </is>
      </c>
      <c r="K16" s="74" t="inlineStr">
        <is>
          <t>PASS</t>
        </is>
      </c>
      <c r="L16" s="74" t="inlineStr">
        <is>
          <t>MEDIUM</t>
        </is>
      </c>
      <c r="M16" s="58" t="inlineStr">
        <is>
          <t>KIMA</t>
        </is>
      </c>
      <c r="N16" s="103" t="n">
        <v>46273</v>
      </c>
      <c r="O16" s="53" t="inlineStr">
        <is>
          <t>Window OS</t>
        </is>
      </c>
      <c r="P16" s="76" t="inlineStr">
        <is>
          <t>Chromium</t>
        </is>
      </c>
      <c r="Q16" s="70" t="n"/>
      <c r="R16" s="70" t="n"/>
      <c r="S16" s="77" t="inlineStr">
        <is>
          <t>Run</t>
        </is>
      </c>
    </row>
    <row r="17" ht="15.75" customHeight="1" s="51"/>
    <row r="18" ht="15.75" customHeight="1" s="51"/>
    <row r="19" ht="15.75" customHeight="1" s="51"/>
    <row r="20" ht="15.75" customHeight="1" s="51"/>
    <row r="21" ht="15.75" customHeight="1" s="51"/>
    <row r="22" ht="15.75" customHeight="1" s="51"/>
  </sheetData>
  <dataValidations count="7">
    <dataValidation sqref="K9:K16" showDropDown="0" showInputMessage="0" showErrorMessage="0" allowBlank="1" type="list">
      <formula1>"PASS,FAIL,PENDING"</formula1>
    </dataValidation>
    <dataValidation sqref="P9:P16" showDropDown="0" showInputMessage="0" showErrorMessage="0" allowBlank="1" type="list">
      <formula1>METADATA!$H$2:$H$8</formula1>
    </dataValidation>
    <dataValidation sqref="O9:O16" showDropDown="0" showInputMessage="0" showErrorMessage="0" allowBlank="1" type="list">
      <formula1>METADATA!$J$2:$J$7</formula1>
    </dataValidation>
    <dataValidation sqref="D9:D16" showDropDown="0" showInputMessage="0" showErrorMessage="0" allowBlank="1" type="list">
      <formula1>METADATA!$N$2:$N$3</formula1>
    </dataValidation>
    <dataValidation sqref="B4 M9:M16" showDropDown="0" showInputMessage="0" showErrorMessage="0" allowBlank="1" type="list">
      <formula1>METADATA!$F$2:$F$4</formula1>
    </dataValidation>
    <dataValidation sqref="L9:L16" showDropDown="0" showInputMessage="0" showErrorMessage="0" allowBlank="1" type="list">
      <formula1>"HIGH,MEDIUM,LOW"</formula1>
    </dataValidation>
    <dataValidation sqref="B1" showDropDown="0" showInputMessage="0" showErrorMessage="0" allowBlank="1" type="list">
      <formula1>"WPAY,UMPay,OFL,UNCS"</formula1>
    </dataValidation>
  </dataValidations>
  <hyperlinks>
    <hyperlink xmlns:r="http://schemas.openxmlformats.org/officeDocument/2006/relationships" ref="S9" r:id="rId1"/>
    <hyperlink xmlns:r="http://schemas.openxmlformats.org/officeDocument/2006/relationships" ref="S10" r:id="rId2"/>
    <hyperlink xmlns:r="http://schemas.openxmlformats.org/officeDocument/2006/relationships" ref="S11" r:id="rId3"/>
    <hyperlink xmlns:r="http://schemas.openxmlformats.org/officeDocument/2006/relationships" ref="S12" r:id="rId4"/>
    <hyperlink xmlns:r="http://schemas.openxmlformats.org/officeDocument/2006/relationships" ref="S13" r:id="rId5"/>
    <hyperlink xmlns:r="http://schemas.openxmlformats.org/officeDocument/2006/relationships" ref="S14" r:id="rId6"/>
    <hyperlink xmlns:r="http://schemas.openxmlformats.org/officeDocument/2006/relationships" ref="S15" r:id="rId7"/>
    <hyperlink xmlns:r="http://schemas.openxmlformats.org/officeDocument/2006/relationships" ref="S16" r:id="rId8"/>
  </hyperlink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M9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RowHeight="15.75" zeroHeight="0" outlineLevelRow="0"/>
  <cols>
    <col width="5.24" customWidth="1" style="50" min="1" max="1"/>
    <col width="12.63" customWidth="1" style="50" min="2" max="3"/>
    <col width="6.38" customWidth="1" style="50" min="4" max="4"/>
    <col width="12.63" customWidth="1" style="50" min="5" max="5"/>
    <col width="15.63" customWidth="1" style="50" min="6" max="6"/>
    <col width="16.13" customWidth="1" style="50" min="7" max="7"/>
    <col width="12.63" customWidth="1" style="50" min="8" max="8"/>
    <col width="16" customWidth="1" style="50" min="9" max="9"/>
    <col width="16.26" customWidth="1" style="50" min="10" max="10"/>
    <col width="15.63" customWidth="1" style="50" min="11" max="11"/>
    <col width="16.13" customWidth="1" style="50" min="12" max="12"/>
    <col width="12.63" customWidth="1" style="50" min="13" max="1025"/>
  </cols>
  <sheetData>
    <row r="1" ht="15.75" customHeight="1" s="51">
      <c r="A1" s="80" t="n"/>
      <c r="B1" s="80" t="n"/>
      <c r="K1" s="54" t="n"/>
      <c r="L1" s="54" t="n"/>
      <c r="M1" s="54" t="n"/>
    </row>
    <row r="2" ht="15.75" customHeight="1" s="51">
      <c r="A2" s="81" t="n"/>
      <c r="B2" s="82" t="inlineStr">
        <is>
          <t>Login</t>
        </is>
      </c>
      <c r="C2" s="83" t="n"/>
      <c r="E2" s="82" t="inlineStr">
        <is>
          <t>Register</t>
        </is>
      </c>
      <c r="F2" s="83" t="n"/>
      <c r="J2" s="84" t="inlineStr">
        <is>
          <t>Result</t>
        </is>
      </c>
      <c r="K2" s="84" t="inlineStr">
        <is>
          <t>Test Cases (n)</t>
        </is>
      </c>
      <c r="L2" s="84" t="inlineStr">
        <is>
          <t>Test Cases (%)</t>
        </is>
      </c>
    </row>
    <row r="3" ht="15.75" customHeight="1" s="51">
      <c r="A3" s="85" t="n"/>
      <c r="B3" s="86" t="inlineStr">
        <is>
          <t>PASS</t>
        </is>
      </c>
      <c r="C3" s="87">
        <f>COUNTIF(Login!K:K,"PASS")</f>
        <v/>
      </c>
      <c r="E3" s="86" t="inlineStr">
        <is>
          <t>PASS</t>
        </is>
      </c>
      <c r="F3" s="87">
        <f>COUNTIF(Register!K:K,"PASS")</f>
        <v/>
      </c>
      <c r="J3" s="88" t="inlineStr">
        <is>
          <t>PASS</t>
        </is>
      </c>
      <c r="K3" s="89">
        <f>SUM(C3,F3,C8,F8,C13,F13,C18,F18,C23,F23,C28,F28,C33,F33,C38,F38,C43,F43,C48,F48,C53,F53,C58,F58,C63,F63,C68)</f>
        <v/>
      </c>
      <c r="L3" s="90">
        <f>K3/K6</f>
        <v/>
      </c>
    </row>
    <row r="4" ht="15.75" customHeight="1" s="51">
      <c r="A4" s="85" t="n"/>
      <c r="B4" s="86" t="inlineStr">
        <is>
          <t>FAIL</t>
        </is>
      </c>
      <c r="C4" s="87">
        <f>COUNTIF(Login!K:K,"FAIL")</f>
        <v/>
      </c>
      <c r="E4" s="86" t="inlineStr">
        <is>
          <t>FAIL</t>
        </is>
      </c>
      <c r="F4" s="87">
        <f>COUNTIF(Register!K:K,"FAIL")</f>
        <v/>
      </c>
      <c r="J4" s="91" t="inlineStr">
        <is>
          <t>FAIL</t>
        </is>
      </c>
      <c r="K4" s="92">
        <f>SUM(C4,F4,C9,F9,C14,F14,C19,F19,C24,F24,C29,F29,C34,F34,C39,F39,C44,F44,C49,F49,C54,F54,C59,F59,C64,F64,C69)</f>
        <v/>
      </c>
      <c r="L4" s="93">
        <f>K4/K6</f>
        <v/>
      </c>
    </row>
    <row r="5" ht="15.75" customHeight="1" s="51">
      <c r="A5" s="94" t="n"/>
      <c r="B5" s="87" t="inlineStr">
        <is>
          <t>PENDING</t>
        </is>
      </c>
      <c r="C5" s="87">
        <f>COUNTIF(Login!K:K,"PENDING")</f>
        <v/>
      </c>
      <c r="E5" s="87" t="inlineStr">
        <is>
          <t>PENDING</t>
        </is>
      </c>
      <c r="F5" s="87">
        <f>COUNTIF(Register!K:K,"PENDING")</f>
        <v/>
      </c>
      <c r="J5" s="95" t="inlineStr">
        <is>
          <t>PENDING</t>
        </is>
      </c>
      <c r="K5" s="96">
        <f>SUM(C5,F5,C10,F10,C15,F15,C20,F20,C25,F25,C30,F30,C35,F35,C40,F40,C45,F45,C50,F50,C55,F55,C60,F60,C65,F65,C70)</f>
        <v/>
      </c>
      <c r="L5" s="97">
        <f>K5/K6</f>
        <v/>
      </c>
      <c r="M5" s="54" t="inlineStr">
        <is>
          <t> </t>
        </is>
      </c>
    </row>
    <row r="6" ht="15.75" customHeight="1" s="51">
      <c r="D6" s="54" t="n"/>
      <c r="F6" s="98" t="n"/>
      <c r="J6" s="99" t="inlineStr">
        <is>
          <t>TOTAL</t>
        </is>
      </c>
      <c r="K6" s="99">
        <f>SUM(K3,K4,K5)</f>
        <v/>
      </c>
      <c r="L6" s="100" t="n"/>
      <c r="M6" s="54" t="n"/>
    </row>
    <row r="7" ht="15.75" customHeight="1" s="51">
      <c r="B7" s="82" t="inlineStr">
        <is>
          <t>Reset_Password</t>
        </is>
      </c>
      <c r="C7" s="83" t="n"/>
      <c r="D7" s="54" t="n"/>
      <c r="E7" s="82" t="inlineStr">
        <is>
          <t>Deposit</t>
        </is>
      </c>
      <c r="F7" s="83" t="n"/>
      <c r="M7" s="54" t="n"/>
    </row>
    <row r="8" ht="15.75" customHeight="1" s="51">
      <c r="B8" s="86" t="inlineStr">
        <is>
          <t>PASS</t>
        </is>
      </c>
      <c r="C8" s="87">
        <f>COUNTIF(Reset_Password!K:K,"PASS")</f>
        <v/>
      </c>
      <c r="D8" s="54" t="n"/>
      <c r="E8" s="86" t="inlineStr">
        <is>
          <t>PASS</t>
        </is>
      </c>
      <c r="F8" s="87">
        <f>COUNTIF(Deposit!K:K,"PASS")</f>
        <v/>
      </c>
      <c r="J8" s="84" t="inlineStr">
        <is>
          <t>Priority</t>
        </is>
      </c>
      <c r="K8" s="91" t="inlineStr">
        <is>
          <t>HIGH</t>
        </is>
      </c>
      <c r="L8" s="95" t="inlineStr">
        <is>
          <t>MEDIUM</t>
        </is>
      </c>
      <c r="M8" s="88" t="inlineStr">
        <is>
          <t>LOW</t>
        </is>
      </c>
    </row>
    <row r="9" ht="15.75" customHeight="1" s="51">
      <c r="B9" s="86" t="inlineStr">
        <is>
          <t>FAIL</t>
        </is>
      </c>
      <c r="C9" s="87">
        <f>COUNTIF(Reset_Password!K:K,"FAIL")</f>
        <v/>
      </c>
      <c r="D9" s="54" t="n"/>
      <c r="E9" s="86" t="inlineStr">
        <is>
          <t>FAIL</t>
        </is>
      </c>
      <c r="F9" s="87">
        <f>COUNTIF(Deposit!K:K,"FAIL")</f>
        <v/>
      </c>
      <c r="J9" s="101" t="inlineStr">
        <is>
          <t>PASS</t>
        </is>
      </c>
      <c r="K9" s="92">
        <f>SUM(Login!P3,Reset_Password!P3,Deposit!P3,Register!P3,Withdraw!P3,Convert!P3,International_School_Fee!P3,Profile!P3,Transfer!P3,Domestic_Transfer!P3,Global_Transfer!P3,Bills!P3,Notification!P3,Trade_Record!P3,Wallet!P3,Payment!P3,Template!P3,Transfer_Fee_Setting!P3,Security!P3,Languages!P3,Settings!P3,Document_Verification!P3,QR_Code!P3,Commission_Listing!P3,Fee_Listing!P3,User_List!P3,Home!P3)</f>
        <v/>
      </c>
      <c r="L9" s="95">
        <f>SUM(Login!Q3,Reset_Password!Q3,Deposit!Q3,Register!Q3,Withdraw!Q3,Convert!Q3,International_School_Fee!Q3,Profile!Q3,Transfer!Q3,Domestic_Transfer!Q3,Global_Transfer!Q3,Bills!Q3,Notification!Q3,Trade_Record!Q3,Wallet!Q3,Payment!Q3,Template!Q3,Transfer_Fee_Setting!Q3,Security!Q3,Languages!Q3,Settings!Q3,Document_Verification!Q3,QR_Code!Q3,Commission_Listing!Q3,Fee_Listing!Q3,User_List!Q3,Home!Q3)</f>
        <v/>
      </c>
      <c r="M9" s="88">
        <f>SUM(Login!R3,Reset_Password!R3,Deposit!R3,Register!R3,Withdraw!R3,Convert!R3,International_School_Fee!R3,Profile!R3,Transfer!R3,Domestic_Transfer!R3,Global_Transfer!R3,Bills!R3,Notification!R3,Trade_Record!R3,Wallet!R3,Payment!R3,Template!R3,Transfer_Fee_Setting!R3,Security!R3,Languages!R3,Settings!R3,Document_Verification!R3,QR_Code!R3,Commission_Listing!R3,Fee_Listing!R3,User_List!R3,Home!R3)</f>
        <v/>
      </c>
    </row>
    <row r="10" ht="15.75" customHeight="1" s="51">
      <c r="B10" s="87" t="inlineStr">
        <is>
          <t>PENDING</t>
        </is>
      </c>
      <c r="C10" s="87">
        <f>COUNTIF(Reset_Password!K:K,"PENDING")</f>
        <v/>
      </c>
      <c r="D10" s="54" t="n"/>
      <c r="E10" s="87" t="inlineStr">
        <is>
          <t>PENDING</t>
        </is>
      </c>
      <c r="F10" s="87">
        <f>COUNTIF(Deposit!K:K,"PENDING")</f>
        <v/>
      </c>
      <c r="J10" s="101" t="inlineStr">
        <is>
          <t>FAIL</t>
        </is>
      </c>
      <c r="K10" s="92">
        <f>SUM(Login!P4,Reset_Password!P4,Deposit!P4,Register!P4,Withdraw!P4,Convert!P4,International_School_Fee!P4,Profile!P4,Transfer!P4,Domestic_Transfer!P4,Global_Transfer!P4,Bills!P4,Notification!P4,Trade_Record!P4,Wallet!P4,Payment!P4,Template!P4,Transfer_Fee_Setting!P4,Security!P4,Languages!P4,Settings!P4,Document_Verification!P4,QR_Code!P4,Commission_Listing!P4,Fee_Listing!P4,User_List!P4,Home!P4)</f>
        <v/>
      </c>
      <c r="L10" s="95">
        <f>SUM(Login!Q4,Reset_Password!Q4,Deposit!Q4,Register!Q4,Withdraw!Q4,Convert!Q4,International_School_Fee!Q4,Profile!Q4,Transfer!Q4,Domestic_Transfer!Q4,Global_Transfer!Q4,Bills!Q4,Notification!Q4,Trade_Record!Q4,Wallet!Q4,Payment!Q4,Template!Q4,Transfer_Fee_Setting!Q4,Security!Q4,Languages!Q4,Settings!Q4,Document_Verification!Q4,QR_Code!Q4,Commission_Listing!Q4,Fee_Listing!Q4,User_List!Q4,Home!Q4)</f>
        <v/>
      </c>
      <c r="M10" s="88">
        <f>SUM(Login!R4,Reset_Password!R4,Deposit!R4,Register!R4,Withdraw!R4,Convert!R4,International_School_Fee!R4,Profile!R4,Transfer!R4,Domestic_Transfer!R4,Global_Transfer!R4,Bills!R4,Notification!R4,Trade_Record!R4,Wallet!R4,Payment!R4,Template!R4,Transfer_Fee_Setting!R4,Security!R4,Languages!R4,Settings!R4,Document_Verification!R4,QR_Code!R4,Commission_Listing!R4,Fee_Listing!R4,User_List!R4,Home!R4)</f>
        <v/>
      </c>
    </row>
    <row r="11" ht="15.75" customHeight="1" s="51">
      <c r="B11" s="80" t="n"/>
      <c r="C11" s="80" t="n"/>
      <c r="D11" s="54" t="n"/>
      <c r="J11" s="101" t="inlineStr">
        <is>
          <t>PENDING</t>
        </is>
      </c>
      <c r="K11" s="92">
        <f>SUM(Login!P5,Reset_Password!P5,Deposit!P5,Register!P5,Withdraw!P5,Convert!P5,International_School_Fee!P5,Profile!P5,Transfer!P5,Domestic_Transfer!P5,Global_Transfer!P5,Bills!P5,Notification!P5,Trade_Record!P5,Wallet!P5,Payment!P5,Template!P5,Transfer_Fee_Setting!P5,Security!P5,Languages!P5,Settings!P5,Document_Verification!P5,QR_Code!P5,Commission_Listing!P5,Fee_Listing!P5,User_List!P5,Home!P5)</f>
        <v/>
      </c>
      <c r="L11" s="95">
        <f>SUM(Login!Q5,Reset_Password!Q5,Deposit!Q5,Register!Q5,Withdraw!Q5,Convert!Q5,International_School_Fee!Q5,Profile!Q5,Transfer!Q5,Domestic_Transfer!Q5,Global_Transfer!Q5,Bills!Q5,Notification!Q5,Trade_Record!Q5,Wallet!Q5,Payment!Q5,Template!Q5,Transfer_Fee_Setting!Q5,Security!Q5,Languages!Q5,Settings!Q5,Document_Verification!Q5,QR_Code!Q5,Commission_Listing!Q5,Fee_Listing!Q5,User_List!Q5,Home!Q5)</f>
        <v/>
      </c>
      <c r="M11" s="88">
        <f>SUM(Login!R5,Reset_Password!R5,Deposit!R5,Register!R5,Withdraw!R5,Convert!R5,International_School_Fee!R5,Profile!R5,Transfer!R5,Domestic_Transfer!R5,Global_Transfer!R5,Bills!R5,Notification!R5,Trade_Record!R5,Wallet!R5,Payment!R5,Template!R5,Transfer_Fee_Setting!R5,Security!R5,Languages!R5,Settings!R5,Document_Verification!R5,QR_Code!R5,Commission_Listing!R5,Fee_Listing!R5,User_List!R5,Home!R5)</f>
        <v/>
      </c>
    </row>
    <row r="12" ht="15.75" customHeight="1" s="51">
      <c r="A12" s="102" t="n"/>
      <c r="B12" s="82" t="inlineStr">
        <is>
          <t>Withdraw</t>
        </is>
      </c>
      <c r="C12" s="83" t="n"/>
      <c r="D12" s="54" t="n"/>
      <c r="E12" s="82" t="inlineStr">
        <is>
          <t>Transfer</t>
        </is>
      </c>
      <c r="F12" s="83" t="n"/>
      <c r="G12" s="54" t="n"/>
      <c r="H12" s="54" t="n"/>
      <c r="I12" s="54" t="n"/>
      <c r="J12" s="54" t="n"/>
      <c r="K12" s="54" t="n"/>
      <c r="L12" s="54" t="n"/>
      <c r="M12" s="54" t="n"/>
    </row>
    <row r="13" ht="15.75" customHeight="1" s="51">
      <c r="B13" s="86" t="inlineStr">
        <is>
          <t>PASS</t>
        </is>
      </c>
      <c r="C13" s="87">
        <f>COUNTIF(Withdraw!K:K,"PASS")</f>
        <v/>
      </c>
      <c r="D13" s="54" t="n"/>
      <c r="E13" s="86" t="inlineStr">
        <is>
          <t>PASS</t>
        </is>
      </c>
      <c r="F13" s="87">
        <f>COUNTIF(Transfer!K:K,"PASS")</f>
        <v/>
      </c>
      <c r="G13" s="54" t="n"/>
      <c r="H13" s="54" t="n"/>
      <c r="I13" s="54" t="n"/>
      <c r="J13" s="54" t="n"/>
      <c r="K13" s="54" t="n"/>
      <c r="L13" s="54" t="n"/>
      <c r="M13" s="54" t="n"/>
    </row>
    <row r="14" ht="15.75" customHeight="1" s="51">
      <c r="B14" s="86" t="inlineStr">
        <is>
          <t>FAIL</t>
        </is>
      </c>
      <c r="C14" s="87">
        <f>COUNTIF(Withdraw!K:K,"FAIL")</f>
        <v/>
      </c>
      <c r="D14" s="54" t="n"/>
      <c r="E14" s="86" t="inlineStr">
        <is>
          <t>FAIL</t>
        </is>
      </c>
      <c r="F14" s="87">
        <f>COUNTIF(Transfer!K:K,"FAIL")</f>
        <v/>
      </c>
      <c r="G14" s="54" t="n"/>
      <c r="H14" s="54" t="n"/>
      <c r="I14" s="54" t="n"/>
      <c r="J14" s="54" t="n"/>
      <c r="K14" s="54" t="n"/>
      <c r="L14" s="54" t="n"/>
      <c r="M14" s="54" t="n"/>
    </row>
    <row r="15" ht="15.75" customHeight="1" s="51">
      <c r="B15" s="87" t="inlineStr">
        <is>
          <t>PENDING</t>
        </is>
      </c>
      <c r="C15" s="87">
        <f>COUNTIF(Withdraw!K:K,"PENDING")</f>
        <v/>
      </c>
      <c r="D15" s="54" t="n"/>
      <c r="E15" s="87" t="inlineStr">
        <is>
          <t>PENDING</t>
        </is>
      </c>
      <c r="F15" s="87">
        <f>COUNTIF(Transfer!K:K,"PENDING")</f>
        <v/>
      </c>
      <c r="G15" s="54" t="n"/>
      <c r="H15" s="54" t="n"/>
      <c r="I15" s="54" t="n"/>
      <c r="J15" s="54" t="n"/>
      <c r="K15" s="54" t="n"/>
      <c r="L15" s="54" t="n"/>
      <c r="M15" s="54" t="n"/>
    </row>
    <row r="16" ht="15.75" customHeight="1" s="51">
      <c r="D16" s="54" t="n"/>
      <c r="E16" s="54" t="n"/>
      <c r="F16" s="54" t="n"/>
      <c r="G16" s="54" t="n"/>
      <c r="H16" s="54" t="n"/>
      <c r="I16" s="54" t="n"/>
      <c r="J16" s="54" t="n"/>
      <c r="K16" s="54" t="n"/>
      <c r="L16" s="54" t="n"/>
      <c r="M16" s="54" t="n"/>
    </row>
    <row r="17" ht="15.75" customHeight="1" s="51">
      <c r="B17" s="82" t="inlineStr">
        <is>
          <t>Convert</t>
        </is>
      </c>
      <c r="C17" s="83" t="n"/>
      <c r="D17" s="54" t="n"/>
      <c r="E17" s="82" t="inlineStr">
        <is>
          <t>International_School_Fee</t>
        </is>
      </c>
      <c r="F17" s="83" t="n"/>
      <c r="G17" s="54" t="n"/>
      <c r="H17" s="54" t="n"/>
      <c r="I17" s="54" t="n"/>
      <c r="J17" s="54" t="n"/>
      <c r="K17" s="54" t="n"/>
      <c r="L17" s="54" t="n"/>
      <c r="M17" s="54" t="n"/>
    </row>
    <row r="18" ht="15.75" customHeight="1" s="51">
      <c r="B18" s="86" t="inlineStr">
        <is>
          <t>PASS</t>
        </is>
      </c>
      <c r="C18" s="87">
        <f>COUNTIF(Convert!K:K,"PASS")</f>
        <v/>
      </c>
      <c r="D18" s="54" t="n"/>
      <c r="E18" s="86" t="inlineStr">
        <is>
          <t>PASS</t>
        </is>
      </c>
      <c r="F18" s="87">
        <f>COUNTIF(International_School_Fee!K:K,"PASS")</f>
        <v/>
      </c>
      <c r="G18" s="54" t="n"/>
      <c r="H18" s="54" t="n"/>
      <c r="I18" s="54" t="n"/>
      <c r="J18" s="54" t="n"/>
      <c r="K18" s="54" t="n"/>
      <c r="L18" s="54" t="n"/>
      <c r="M18" s="54" t="n"/>
    </row>
    <row r="19" ht="15.75" customHeight="1" s="51">
      <c r="B19" s="86" t="inlineStr">
        <is>
          <t>FAIL</t>
        </is>
      </c>
      <c r="C19" s="87">
        <f>COUNTIF(Convert!K:K,"FAIL")</f>
        <v/>
      </c>
      <c r="D19" s="54" t="n"/>
      <c r="E19" s="86" t="inlineStr">
        <is>
          <t>FAIL</t>
        </is>
      </c>
      <c r="F19" s="87">
        <f>COUNTIF(International_School_Fee!K:K,"FAIL")</f>
        <v/>
      </c>
      <c r="G19" s="54" t="n"/>
      <c r="H19" s="54" t="n"/>
      <c r="I19" s="54" t="n"/>
      <c r="J19" s="54" t="n"/>
      <c r="K19" s="54" t="n"/>
      <c r="L19" s="54" t="n"/>
      <c r="M19" s="54" t="n"/>
    </row>
    <row r="20" ht="15.75" customHeight="1" s="51">
      <c r="B20" s="87" t="inlineStr">
        <is>
          <t>PENDING</t>
        </is>
      </c>
      <c r="C20" s="87">
        <f>COUNTIF(Convert!K:K,"PENDING")</f>
        <v/>
      </c>
      <c r="D20" s="54" t="n"/>
      <c r="E20" s="87" t="inlineStr">
        <is>
          <t>PENDING</t>
        </is>
      </c>
      <c r="F20" s="87">
        <f>COUNTIF(International_School_Fee!K:K,"PENDING")</f>
        <v/>
      </c>
      <c r="G20" s="54" t="n"/>
      <c r="H20" s="54" t="n"/>
      <c r="I20" s="54" t="n"/>
      <c r="J20" s="54" t="n"/>
      <c r="K20" s="54" t="n"/>
      <c r="L20" s="54" t="n"/>
      <c r="M20" s="54" t="n"/>
    </row>
    <row r="21" ht="15.75" customHeight="1" s="51">
      <c r="D21" s="54" t="n"/>
      <c r="E21" s="54" t="n"/>
      <c r="F21" s="54" t="n"/>
      <c r="G21" s="54" t="n"/>
      <c r="H21" s="54" t="n"/>
      <c r="I21" s="54" t="n"/>
      <c r="J21" s="54" t="n"/>
      <c r="K21" s="54" t="n"/>
      <c r="L21" s="54" t="n"/>
      <c r="M21" s="54" t="n"/>
    </row>
    <row r="22" ht="15.75" customHeight="1" s="51">
      <c r="A22" s="102" t="n"/>
      <c r="B22" s="82" t="inlineStr">
        <is>
          <t>Profile</t>
        </is>
      </c>
      <c r="C22" s="83" t="n"/>
      <c r="D22" s="54" t="n"/>
      <c r="E22" s="82" t="inlineStr">
        <is>
          <t>Domestic_Transfer</t>
        </is>
      </c>
      <c r="F22" s="83" t="n"/>
      <c r="G22" s="54" t="n"/>
      <c r="H22" s="54" t="n"/>
      <c r="I22" s="54" t="n"/>
      <c r="J22" s="54" t="n"/>
      <c r="K22" s="54" t="n"/>
      <c r="L22" s="54" t="n"/>
      <c r="M22" s="54" t="n"/>
    </row>
    <row r="23" ht="15.75" customHeight="1" s="51">
      <c r="B23" s="86" t="inlineStr">
        <is>
          <t>PASS</t>
        </is>
      </c>
      <c r="C23" s="87">
        <f>COUNTIF(Profile!K:K,"PASS")</f>
        <v/>
      </c>
      <c r="D23" s="54" t="n"/>
      <c r="E23" s="86" t="inlineStr">
        <is>
          <t>PASS</t>
        </is>
      </c>
      <c r="F23" s="87">
        <f>COUNTIF(Domestic_Transfer!K:K,"PASS")</f>
        <v/>
      </c>
      <c r="G23" s="54" t="n"/>
      <c r="H23" s="54" t="n"/>
      <c r="I23" s="54" t="n"/>
      <c r="J23" s="54" t="n"/>
      <c r="K23" s="54" t="n"/>
      <c r="L23" s="54" t="n"/>
      <c r="M23" s="54" t="n"/>
    </row>
    <row r="24" ht="15.75" customHeight="1" s="51">
      <c r="B24" s="86" t="inlineStr">
        <is>
          <t>FAIL</t>
        </is>
      </c>
      <c r="C24" s="87">
        <f>COUNTIF(Profile!K:K,"FAIL")</f>
        <v/>
      </c>
      <c r="D24" s="54" t="n"/>
      <c r="E24" s="86" t="inlineStr">
        <is>
          <t>FAIL</t>
        </is>
      </c>
      <c r="F24" s="87">
        <f>COUNTIF(Domestic_Transfer!K:K,"FAIL")</f>
        <v/>
      </c>
      <c r="G24" s="54" t="n"/>
      <c r="H24" s="54" t="n"/>
      <c r="I24" s="54" t="n"/>
      <c r="J24" s="54" t="n"/>
      <c r="K24" s="54" t="n"/>
      <c r="L24" s="54" t="n"/>
      <c r="M24" s="54" t="n"/>
    </row>
    <row r="25" ht="15.75" customHeight="1" s="51">
      <c r="B25" s="87" t="inlineStr">
        <is>
          <t>PENDING</t>
        </is>
      </c>
      <c r="C25" s="87">
        <f>COUNTIF(Profile!K:K,"PENDING")</f>
        <v/>
      </c>
      <c r="D25" s="54" t="n"/>
      <c r="E25" s="87" t="inlineStr">
        <is>
          <t>PENDING</t>
        </is>
      </c>
      <c r="F25" s="87">
        <f>COUNTIF(Domestic_Transfer!K:K,"PENDING")</f>
        <v/>
      </c>
      <c r="G25" s="54" t="n"/>
      <c r="H25" s="54" t="n"/>
      <c r="I25" s="54" t="n"/>
      <c r="J25" s="54" t="n"/>
      <c r="K25" s="54" t="n"/>
      <c r="L25" s="54" t="n"/>
      <c r="M25" s="54" t="n"/>
    </row>
    <row r="26" ht="15.75" customHeight="1" s="51">
      <c r="D26" s="54" t="n"/>
      <c r="E26" s="54" t="n"/>
      <c r="F26" s="54" t="n"/>
      <c r="G26" s="54" t="n"/>
      <c r="H26" s="54" t="n"/>
      <c r="I26" s="54" t="n"/>
      <c r="J26" s="54" t="n"/>
      <c r="K26" s="54" t="n"/>
      <c r="L26" s="54" t="n"/>
      <c r="M26" s="54" t="n"/>
    </row>
    <row r="27" ht="15.75" customHeight="1" s="51">
      <c r="B27" s="82" t="inlineStr">
        <is>
          <t>Global_Transfer</t>
        </is>
      </c>
      <c r="C27" s="83" t="n"/>
      <c r="D27" s="54" t="n"/>
      <c r="E27" s="82" t="inlineStr">
        <is>
          <t>Bills</t>
        </is>
      </c>
      <c r="F27" s="54" t="n"/>
      <c r="G27" s="54" t="n"/>
      <c r="H27" s="54" t="n"/>
      <c r="I27" s="54" t="n"/>
      <c r="J27" s="54" t="n"/>
      <c r="K27" s="54" t="n"/>
      <c r="L27" s="54" t="n"/>
      <c r="M27" s="54" t="n"/>
    </row>
    <row r="28" ht="15.75" customHeight="1" s="51">
      <c r="B28" s="86" t="inlineStr">
        <is>
          <t>PASS</t>
        </is>
      </c>
      <c r="C28" s="87">
        <f>COUNTIF(Global_Transfer!K:K,"PASS")</f>
        <v/>
      </c>
      <c r="D28" s="54" t="n"/>
      <c r="E28" s="86" t="inlineStr">
        <is>
          <t>PASS</t>
        </is>
      </c>
      <c r="F28" s="87">
        <f>COUNTIF(Bills!K:K,"PASS")</f>
        <v/>
      </c>
      <c r="G28" s="54" t="n"/>
      <c r="H28" s="54" t="n"/>
      <c r="I28" s="54" t="n"/>
      <c r="J28" s="54" t="n"/>
      <c r="K28" s="54" t="n"/>
      <c r="L28" s="54" t="n"/>
      <c r="M28" s="54" t="n"/>
    </row>
    <row r="29" ht="15.75" customHeight="1" s="51">
      <c r="B29" s="86" t="inlineStr">
        <is>
          <t>FAIL</t>
        </is>
      </c>
      <c r="C29" s="87">
        <f>COUNTIF(Global_Transfer!K:K,"FAIL")</f>
        <v/>
      </c>
      <c r="D29" s="54" t="n"/>
      <c r="E29" s="86" t="inlineStr">
        <is>
          <t>FAIL</t>
        </is>
      </c>
      <c r="F29" s="87">
        <f>COUNTIF(Bills!K:K,"FAIL")</f>
        <v/>
      </c>
      <c r="G29" s="54" t="n"/>
      <c r="H29" s="54" t="n"/>
      <c r="I29" s="54" t="n"/>
      <c r="J29" s="54" t="n"/>
      <c r="K29" s="54" t="n"/>
      <c r="L29" s="54" t="n"/>
      <c r="M29" s="54" t="n"/>
    </row>
    <row r="30" ht="15.75" customHeight="1" s="51">
      <c r="B30" s="87" t="inlineStr">
        <is>
          <t>PENDING</t>
        </is>
      </c>
      <c r="C30" s="87">
        <f>COUNTIF(Global_Transfer!K:K,"PENDING")</f>
        <v/>
      </c>
      <c r="D30" s="54" t="n"/>
      <c r="E30" s="87" t="inlineStr">
        <is>
          <t>PENDING</t>
        </is>
      </c>
      <c r="F30" s="87">
        <f>COUNTIF(Bills!K:K,"PENDING")</f>
        <v/>
      </c>
      <c r="G30" s="54" t="n"/>
      <c r="H30" s="54" t="n"/>
      <c r="I30" s="54" t="n"/>
      <c r="J30" s="54" t="n"/>
      <c r="K30" s="54" t="n"/>
      <c r="L30" s="54" t="n"/>
      <c r="M30" s="54" t="n"/>
    </row>
    <row r="31" ht="15.75" customHeight="1" s="51">
      <c r="D31" s="54" t="n"/>
      <c r="E31" s="54" t="n"/>
      <c r="F31" s="54" t="n"/>
      <c r="G31" s="54" t="n"/>
      <c r="H31" s="54" t="n"/>
      <c r="I31" s="54" t="n"/>
      <c r="J31" s="54" t="n"/>
      <c r="K31" s="54" t="n"/>
      <c r="L31" s="54" t="n"/>
      <c r="M31" s="54" t="n"/>
    </row>
    <row r="32" ht="15.75" customHeight="1" s="51">
      <c r="A32" s="102" t="n"/>
      <c r="B32" s="82" t="inlineStr">
        <is>
          <t>Notification</t>
        </is>
      </c>
      <c r="C32" s="94" t="n"/>
      <c r="D32" s="54" t="n"/>
      <c r="E32" s="82" t="inlineStr">
        <is>
          <t>Trade_Record</t>
        </is>
      </c>
      <c r="F32" s="54" t="n"/>
      <c r="G32" s="54" t="n"/>
      <c r="H32" s="54" t="n"/>
      <c r="I32" s="54" t="n"/>
      <c r="J32" s="54" t="n"/>
      <c r="K32" s="54" t="n"/>
      <c r="L32" s="54" t="n"/>
      <c r="M32" s="54" t="n"/>
    </row>
    <row r="33" ht="15.75" customHeight="1" s="51">
      <c r="A33" s="102" t="n"/>
      <c r="B33" s="86" t="inlineStr">
        <is>
          <t>PASS</t>
        </is>
      </c>
      <c r="C33" s="87">
        <f>COUNTIF(Notification!K:K,"PASS")</f>
        <v/>
      </c>
      <c r="D33" s="54" t="n"/>
      <c r="E33" s="86" t="inlineStr">
        <is>
          <t>PASS</t>
        </is>
      </c>
      <c r="F33" s="87">
        <f>COUNTIF(Trade_Record!K:K,"PASS")</f>
        <v/>
      </c>
      <c r="G33" s="54" t="n"/>
      <c r="H33" s="54" t="n"/>
      <c r="I33" s="54" t="n"/>
      <c r="J33" s="54" t="n"/>
      <c r="K33" s="54" t="n"/>
      <c r="L33" s="54" t="n"/>
      <c r="M33" s="54" t="n"/>
    </row>
    <row r="34" ht="15.75" customHeight="1" s="51">
      <c r="A34" s="102" t="n"/>
      <c r="B34" s="86" t="inlineStr">
        <is>
          <t>FAIL</t>
        </is>
      </c>
      <c r="C34" s="87">
        <f>COUNTIF(Notification!K:K,"FAIL")</f>
        <v/>
      </c>
      <c r="D34" s="54" t="n"/>
      <c r="E34" s="86" t="inlineStr">
        <is>
          <t>FAIL</t>
        </is>
      </c>
      <c r="F34" s="87">
        <f>COUNTIF(Trade_Record!K:K,"FAIL")</f>
        <v/>
      </c>
      <c r="G34" s="54" t="n"/>
      <c r="H34" s="54" t="n"/>
      <c r="I34" s="54" t="n"/>
      <c r="J34" s="54" t="n"/>
      <c r="K34" s="54" t="n"/>
      <c r="L34" s="54" t="n"/>
      <c r="M34" s="54" t="n"/>
    </row>
    <row r="35" ht="15.75" customHeight="1" s="51">
      <c r="A35" s="102" t="n"/>
      <c r="B35" s="87" t="inlineStr">
        <is>
          <t>PENDING</t>
        </is>
      </c>
      <c r="C35" s="87">
        <f>COUNTIF(Notification!K:K,"PENDING")</f>
        <v/>
      </c>
      <c r="D35" s="54" t="n"/>
      <c r="E35" s="87" t="inlineStr">
        <is>
          <t>PENDING</t>
        </is>
      </c>
      <c r="F35" s="87">
        <f>COUNTIF(Trade_Record!K:K,"PENDING")</f>
        <v/>
      </c>
      <c r="G35" s="54" t="n"/>
      <c r="H35" s="54" t="n"/>
      <c r="I35" s="54" t="n"/>
      <c r="J35" s="54" t="n"/>
      <c r="K35" s="54" t="n"/>
      <c r="L35" s="54" t="n"/>
      <c r="M35" s="54" t="n"/>
    </row>
    <row r="36" ht="15.75" customHeight="1" s="51">
      <c r="A36" s="102" t="n"/>
      <c r="B36" s="102" t="n"/>
      <c r="C36" s="94" t="n"/>
      <c r="D36" s="54" t="n"/>
      <c r="E36" s="54" t="n"/>
      <c r="F36" s="54" t="n"/>
      <c r="G36" s="54" t="n"/>
      <c r="H36" s="54" t="n"/>
      <c r="I36" s="54" t="n"/>
      <c r="J36" s="54" t="n"/>
      <c r="K36" s="54" t="n"/>
      <c r="L36" s="54" t="n"/>
      <c r="M36" s="54" t="n"/>
    </row>
    <row r="37" ht="15.75" customHeight="1" s="51">
      <c r="A37" s="102" t="n"/>
      <c r="B37" s="82" t="inlineStr">
        <is>
          <t>Wallet</t>
        </is>
      </c>
      <c r="C37" s="94" t="n"/>
      <c r="D37" s="54" t="n"/>
      <c r="E37" s="82" t="inlineStr">
        <is>
          <t>Payment</t>
        </is>
      </c>
      <c r="F37" s="54" t="n"/>
      <c r="G37" s="54" t="n"/>
      <c r="H37" s="54" t="n"/>
      <c r="I37" s="54" t="n"/>
      <c r="J37" s="54" t="n"/>
      <c r="K37" s="54" t="n"/>
      <c r="L37" s="54" t="n"/>
      <c r="M37" s="54" t="n"/>
    </row>
    <row r="38" ht="15.75" customHeight="1" s="51">
      <c r="A38" s="102" t="n"/>
      <c r="B38" s="86" t="inlineStr">
        <is>
          <t>PASS</t>
        </is>
      </c>
      <c r="C38" s="87">
        <f>COUNTIF(Wallet!K:K,"PASS")</f>
        <v/>
      </c>
      <c r="D38" s="54" t="n"/>
      <c r="E38" s="86" t="inlineStr">
        <is>
          <t>PASS</t>
        </is>
      </c>
      <c r="F38" s="87">
        <f>COUNTIF(Payment!K:K,"PASS")</f>
        <v/>
      </c>
      <c r="G38" s="54" t="n"/>
      <c r="H38" s="54" t="n"/>
      <c r="I38" s="54" t="n"/>
      <c r="J38" s="54" t="n"/>
      <c r="K38" s="54" t="n"/>
      <c r="L38" s="54" t="n"/>
      <c r="M38" s="54" t="n"/>
    </row>
    <row r="39" ht="15.75" customHeight="1" s="51">
      <c r="A39" s="102" t="n"/>
      <c r="B39" s="86" t="inlineStr">
        <is>
          <t>FAIL</t>
        </is>
      </c>
      <c r="C39" s="87">
        <f>COUNTIF(Wallet!K:K,"FAIL")</f>
        <v/>
      </c>
      <c r="D39" s="54" t="n"/>
      <c r="E39" s="86" t="inlineStr">
        <is>
          <t>FAIL</t>
        </is>
      </c>
      <c r="F39" s="87">
        <f>COUNTIF(Payment!K:K,"FAIL")</f>
        <v/>
      </c>
      <c r="G39" s="54" t="n"/>
      <c r="H39" s="54" t="n"/>
      <c r="I39" s="54" t="n"/>
      <c r="J39" s="54" t="n"/>
      <c r="K39" s="54" t="n"/>
      <c r="L39" s="54" t="n"/>
      <c r="M39" s="54" t="n"/>
    </row>
    <row r="40" ht="15.75" customHeight="1" s="51">
      <c r="A40" s="102" t="n"/>
      <c r="B40" s="87" t="inlineStr">
        <is>
          <t>PENDING</t>
        </is>
      </c>
      <c r="C40" s="87">
        <f>COUNTIF(Wallet!K:K,"PENDING")</f>
        <v/>
      </c>
      <c r="D40" s="54" t="n"/>
      <c r="E40" s="87" t="inlineStr">
        <is>
          <t>PENDING</t>
        </is>
      </c>
      <c r="F40" s="87">
        <f>COUNTIF(Payment!K:K,"PENDING")</f>
        <v/>
      </c>
      <c r="G40" s="54" t="n"/>
      <c r="H40" s="54" t="n"/>
      <c r="I40" s="54" t="n"/>
      <c r="J40" s="54" t="n"/>
      <c r="K40" s="54" t="n"/>
      <c r="L40" s="54" t="n"/>
      <c r="M40" s="54" t="n"/>
    </row>
    <row r="41" ht="15.75" customHeight="1" s="51">
      <c r="A41" s="102" t="n"/>
      <c r="B41" s="102" t="n"/>
      <c r="C41" s="94" t="n"/>
      <c r="D41" s="54" t="n"/>
      <c r="E41" s="54" t="n"/>
      <c r="F41" s="54" t="n"/>
      <c r="G41" s="54" t="n"/>
      <c r="H41" s="54" t="n"/>
      <c r="I41" s="54" t="n"/>
      <c r="J41" s="54" t="n"/>
      <c r="K41" s="54" t="n"/>
      <c r="L41" s="54" t="n"/>
      <c r="M41" s="54" t="n"/>
    </row>
    <row r="42" ht="15.75" customHeight="1" s="51">
      <c r="A42" s="102" t="n"/>
      <c r="B42" s="102" t="inlineStr">
        <is>
          <t>Template</t>
        </is>
      </c>
      <c r="C42" s="94" t="n"/>
      <c r="D42" s="54" t="n"/>
      <c r="E42" s="102" t="inlineStr">
        <is>
          <t>Transfer_Fee_Setting</t>
        </is>
      </c>
      <c r="F42" s="54" t="n"/>
      <c r="G42" s="54" t="n"/>
      <c r="H42" s="54" t="n"/>
      <c r="I42" s="54" t="n"/>
      <c r="J42" s="54" t="n"/>
      <c r="K42" s="54" t="n"/>
      <c r="L42" s="54" t="n"/>
      <c r="M42" s="54" t="n"/>
    </row>
    <row r="43" ht="15.75" customHeight="1" s="51">
      <c r="A43" s="102" t="n"/>
      <c r="B43" s="102" t="inlineStr">
        <is>
          <t>PASS</t>
        </is>
      </c>
      <c r="C43" s="94">
        <f>COUNTIF(Template!K:K,"PASS")</f>
        <v/>
      </c>
      <c r="D43" s="54" t="n"/>
      <c r="E43" s="102" t="inlineStr">
        <is>
          <t>PASS</t>
        </is>
      </c>
      <c r="F43" s="94">
        <f>COUNTIF(Transfer_Fee_Setting!K:K,"PASS")</f>
        <v/>
      </c>
      <c r="G43" s="54" t="n"/>
      <c r="H43" s="54" t="n"/>
      <c r="I43" s="54" t="n"/>
      <c r="J43" s="54" t="n"/>
      <c r="K43" s="54" t="n"/>
      <c r="L43" s="54" t="n"/>
      <c r="M43" s="54" t="n"/>
    </row>
    <row r="44" ht="15.75" customHeight="1" s="51">
      <c r="A44" s="102" t="n"/>
      <c r="B44" s="102" t="inlineStr">
        <is>
          <t>FAIL</t>
        </is>
      </c>
      <c r="C44" s="94">
        <f>COUNTIF(Template!K:K,"FAIL")</f>
        <v/>
      </c>
      <c r="D44" s="54" t="n"/>
      <c r="E44" s="102" t="inlineStr">
        <is>
          <t>FAIL</t>
        </is>
      </c>
      <c r="F44" s="94">
        <f>COUNTIF(Transfer_Fee_Setting!K:K,"FAIL")</f>
        <v/>
      </c>
      <c r="G44" s="54" t="n"/>
      <c r="H44" s="54" t="n"/>
      <c r="I44" s="54" t="n"/>
      <c r="J44" s="54" t="n"/>
      <c r="K44" s="54" t="n"/>
      <c r="L44" s="54" t="n"/>
      <c r="M44" s="54" t="n"/>
    </row>
    <row r="45" ht="15.75" customHeight="1" s="51">
      <c r="A45" s="102" t="n"/>
      <c r="B45" s="102" t="inlineStr">
        <is>
          <t>PENDING</t>
        </is>
      </c>
      <c r="C45" s="94">
        <f>COUNTIF(Template!K:K,"PENDING")</f>
        <v/>
      </c>
      <c r="D45" s="54" t="n"/>
      <c r="E45" s="102" t="inlineStr">
        <is>
          <t>PENDING</t>
        </is>
      </c>
      <c r="F45" s="94">
        <f>COUNTIF(Transfer_Fee_Setting!K:K,"PENDING")</f>
        <v/>
      </c>
      <c r="G45" s="54" t="n"/>
      <c r="H45" s="54" t="n"/>
      <c r="I45" s="54" t="n"/>
      <c r="J45" s="54" t="n"/>
      <c r="K45" s="54" t="n"/>
      <c r="L45" s="54" t="n"/>
      <c r="M45" s="54" t="n"/>
    </row>
    <row r="46" ht="15.75" customHeight="1" s="51">
      <c r="A46" s="102" t="n"/>
      <c r="B46" s="102" t="n"/>
      <c r="C46" s="94" t="n"/>
      <c r="D46" s="54" t="n"/>
      <c r="E46" s="54" t="n"/>
      <c r="F46" s="54" t="n"/>
      <c r="G46" s="54" t="n"/>
      <c r="H46" s="54" t="n"/>
      <c r="I46" s="54" t="n"/>
      <c r="J46" s="54" t="n"/>
      <c r="K46" s="54" t="n"/>
      <c r="L46" s="54" t="n"/>
      <c r="M46" s="54" t="n"/>
    </row>
    <row r="47" ht="15.75" customHeight="1" s="51">
      <c r="A47" s="102" t="n"/>
      <c r="B47" s="102" t="inlineStr">
        <is>
          <t>Security</t>
        </is>
      </c>
      <c r="C47" s="94" t="n"/>
      <c r="D47" s="54" t="n"/>
      <c r="E47" s="102" t="inlineStr">
        <is>
          <t>Languages</t>
        </is>
      </c>
      <c r="F47" s="54" t="n"/>
      <c r="G47" s="54" t="n"/>
      <c r="H47" s="54" t="n"/>
      <c r="I47" s="54" t="n"/>
      <c r="J47" s="54" t="n"/>
      <c r="K47" s="54" t="n"/>
      <c r="L47" s="54" t="n"/>
      <c r="M47" s="54" t="n"/>
    </row>
    <row r="48" ht="15.75" customHeight="1" s="51">
      <c r="A48" s="102" t="n"/>
      <c r="B48" s="102" t="inlineStr">
        <is>
          <t>PASS</t>
        </is>
      </c>
      <c r="C48" s="94">
        <f>COUNTIF(Security!K:K,"PASS")</f>
        <v/>
      </c>
      <c r="D48" s="54" t="n"/>
      <c r="E48" s="102" t="inlineStr">
        <is>
          <t>PASS</t>
        </is>
      </c>
      <c r="F48" s="94">
        <f>COUNTIF(Languages!K:K,"PASS")</f>
        <v/>
      </c>
      <c r="G48" s="54" t="n"/>
      <c r="H48" s="54" t="n"/>
      <c r="I48" s="54" t="n"/>
      <c r="J48" s="54" t="n"/>
      <c r="K48" s="54" t="n"/>
      <c r="L48" s="54" t="n"/>
      <c r="M48" s="54" t="n"/>
    </row>
    <row r="49" ht="15.75" customHeight="1" s="51">
      <c r="A49" s="102" t="n"/>
      <c r="B49" s="102" t="inlineStr">
        <is>
          <t>FAIL</t>
        </is>
      </c>
      <c r="C49" s="94">
        <f>COUNTIF(Security!K:K,"FAIL")</f>
        <v/>
      </c>
      <c r="D49" s="54" t="n"/>
      <c r="E49" s="102" t="inlineStr">
        <is>
          <t>FAIL</t>
        </is>
      </c>
      <c r="F49" s="94">
        <f>COUNTIF(Languages!K:K,"FAIL")</f>
        <v/>
      </c>
      <c r="G49" s="54" t="n"/>
      <c r="H49" s="54" t="n"/>
      <c r="I49" s="54" t="n"/>
      <c r="J49" s="54" t="n"/>
      <c r="K49" s="54" t="n"/>
      <c r="L49" s="54" t="n"/>
      <c r="M49" s="54" t="n"/>
    </row>
    <row r="50" ht="15.75" customHeight="1" s="51">
      <c r="A50" s="102" t="n"/>
      <c r="B50" s="102" t="inlineStr">
        <is>
          <t>PENDING</t>
        </is>
      </c>
      <c r="C50" s="94">
        <f>COUNTIF(Security!K:K,"PENDING")</f>
        <v/>
      </c>
      <c r="D50" s="54" t="n"/>
      <c r="E50" s="102" t="inlineStr">
        <is>
          <t>PENDING</t>
        </is>
      </c>
      <c r="F50" s="94">
        <f>COUNTIF(Languages!K:K,"PENDING")</f>
        <v/>
      </c>
      <c r="G50" s="54" t="n"/>
      <c r="H50" s="54" t="n"/>
      <c r="I50" s="54" t="n"/>
      <c r="J50" s="54" t="n"/>
      <c r="K50" s="54" t="n"/>
      <c r="L50" s="54" t="n"/>
      <c r="M50" s="54" t="n"/>
    </row>
    <row r="51" ht="15.75" customHeight="1" s="51">
      <c r="A51" s="102" t="n"/>
      <c r="B51" s="102" t="n"/>
      <c r="C51" s="94" t="n"/>
      <c r="D51" s="54" t="n"/>
      <c r="E51" s="54" t="n"/>
      <c r="F51" s="54" t="n"/>
      <c r="G51" s="54" t="n"/>
      <c r="H51" s="54" t="n"/>
      <c r="I51" s="54" t="n"/>
      <c r="J51" s="54" t="n"/>
      <c r="K51" s="54" t="n"/>
      <c r="L51" s="54" t="n"/>
      <c r="M51" s="54" t="n"/>
    </row>
    <row r="52" ht="15.75" customHeight="1" s="51">
      <c r="A52" s="102" t="n"/>
      <c r="B52" s="102" t="inlineStr">
        <is>
          <t>Settings</t>
        </is>
      </c>
      <c r="C52" s="94" t="n"/>
      <c r="D52" s="54" t="n"/>
      <c r="E52" s="102" t="inlineStr">
        <is>
          <t>Document_Verification</t>
        </is>
      </c>
      <c r="F52" s="54" t="n"/>
      <c r="G52" s="54" t="n"/>
      <c r="H52" s="54" t="n"/>
      <c r="I52" s="54" t="n"/>
      <c r="J52" s="54" t="n"/>
      <c r="K52" s="54" t="n"/>
      <c r="L52" s="54" t="n"/>
      <c r="M52" s="54" t="n"/>
    </row>
    <row r="53" ht="15.75" customHeight="1" s="51">
      <c r="A53" s="102" t="n"/>
      <c r="B53" s="102" t="inlineStr">
        <is>
          <t>PASS</t>
        </is>
      </c>
      <c r="C53" s="94">
        <f>COUNTIF(Settings!K:K,"PASS")</f>
        <v/>
      </c>
      <c r="D53" s="54" t="n"/>
      <c r="E53" s="102" t="inlineStr">
        <is>
          <t>PASS</t>
        </is>
      </c>
      <c r="F53" s="94">
        <f>COUNTIF(Document_Verification!K:K,"PASS")</f>
        <v/>
      </c>
      <c r="G53" s="54" t="n"/>
      <c r="H53" s="54" t="n"/>
      <c r="I53" s="54" t="n"/>
      <c r="J53" s="54" t="n"/>
      <c r="K53" s="54" t="n"/>
      <c r="L53" s="54" t="n"/>
      <c r="M53" s="54" t="n"/>
    </row>
    <row r="54" ht="15.75" customHeight="1" s="51">
      <c r="A54" s="102" t="n"/>
      <c r="B54" s="102" t="inlineStr">
        <is>
          <t>FAIL</t>
        </is>
      </c>
      <c r="C54" s="94">
        <f>COUNTIF(Settings!K:K,"FAIL")</f>
        <v/>
      </c>
      <c r="D54" s="54" t="n"/>
      <c r="E54" s="102" t="inlineStr">
        <is>
          <t>FAIL</t>
        </is>
      </c>
      <c r="F54" s="94">
        <f>COUNTIF(Document_Verification!K:K,"FAIL")</f>
        <v/>
      </c>
      <c r="G54" s="54" t="n"/>
      <c r="H54" s="54" t="n"/>
      <c r="I54" s="54" t="n"/>
      <c r="J54" s="54" t="n"/>
      <c r="K54" s="54" t="n"/>
      <c r="L54" s="54" t="n"/>
      <c r="M54" s="54" t="n"/>
    </row>
    <row r="55" ht="15.75" customHeight="1" s="51">
      <c r="A55" s="102" t="n"/>
      <c r="B55" s="102" t="inlineStr">
        <is>
          <t>PENDING</t>
        </is>
      </c>
      <c r="C55" s="94">
        <f>COUNTIF(Settings!K:K,"PENDING")</f>
        <v/>
      </c>
      <c r="D55" s="54" t="n"/>
      <c r="E55" s="102" t="inlineStr">
        <is>
          <t>PENDING</t>
        </is>
      </c>
      <c r="F55" s="94">
        <f>COUNTIF(Document_Verification!K:K,"PENDING")</f>
        <v/>
      </c>
      <c r="G55" s="54" t="n"/>
      <c r="H55" s="54" t="n"/>
      <c r="I55" s="54" t="n"/>
      <c r="J55" s="54" t="n"/>
      <c r="K55" s="54" t="n"/>
      <c r="L55" s="54" t="n"/>
      <c r="M55" s="54" t="n"/>
    </row>
    <row r="56" ht="15.75" customHeight="1" s="51">
      <c r="A56" s="102" t="n"/>
      <c r="B56" s="102" t="n"/>
      <c r="C56" s="94" t="n"/>
      <c r="D56" s="54" t="n"/>
      <c r="E56" s="54" t="n"/>
      <c r="F56" s="54" t="n"/>
      <c r="G56" s="54" t="n"/>
      <c r="H56" s="54" t="n"/>
      <c r="I56" s="54" t="n"/>
      <c r="J56" s="54" t="n"/>
      <c r="K56" s="54" t="n"/>
      <c r="L56" s="54" t="n"/>
      <c r="M56" s="54" t="n"/>
    </row>
    <row r="57" ht="15.75" customHeight="1" s="51">
      <c r="A57" s="102" t="n"/>
      <c r="B57" s="102" t="inlineStr">
        <is>
          <t>QR_Code</t>
        </is>
      </c>
      <c r="C57" s="94" t="n"/>
      <c r="D57" s="54" t="n"/>
      <c r="E57" s="102" t="inlineStr">
        <is>
          <t>Commission_Listing</t>
        </is>
      </c>
      <c r="F57" s="54" t="n"/>
      <c r="G57" s="54" t="n"/>
      <c r="H57" s="54" t="n"/>
      <c r="I57" s="54" t="n"/>
      <c r="J57" s="54" t="n"/>
      <c r="K57" s="54" t="n"/>
      <c r="L57" s="54" t="n"/>
      <c r="M57" s="54" t="n"/>
    </row>
    <row r="58" ht="15.75" customHeight="1" s="51">
      <c r="A58" s="102" t="n"/>
      <c r="B58" s="102" t="inlineStr">
        <is>
          <t>PASS</t>
        </is>
      </c>
      <c r="C58" s="94">
        <f>COUNTIF(QR_Code!K:K,"PASS")</f>
        <v/>
      </c>
      <c r="D58" s="54" t="n"/>
      <c r="E58" s="102" t="inlineStr">
        <is>
          <t>PASS</t>
        </is>
      </c>
      <c r="F58" s="94">
        <f>COUNTIF(Commission_Listing!K:K,"PASS")</f>
        <v/>
      </c>
      <c r="G58" s="54" t="n"/>
      <c r="H58" s="54" t="n"/>
      <c r="I58" s="54" t="n"/>
      <c r="J58" s="54" t="n"/>
      <c r="K58" s="54" t="n"/>
      <c r="L58" s="54" t="n"/>
      <c r="M58" s="54" t="n"/>
    </row>
    <row r="59" ht="15.75" customHeight="1" s="51">
      <c r="A59" s="102" t="n"/>
      <c r="B59" s="102" t="inlineStr">
        <is>
          <t>FAIL</t>
        </is>
      </c>
      <c r="C59" s="94">
        <f>COUNTIF(QR_Code!K:K,"FAIL")</f>
        <v/>
      </c>
      <c r="D59" s="54" t="n"/>
      <c r="E59" s="102" t="inlineStr">
        <is>
          <t>FAIL</t>
        </is>
      </c>
      <c r="F59" s="94">
        <f>COUNTIF(Commission_Listing!K:K,"FAIL")</f>
        <v/>
      </c>
      <c r="G59" s="54" t="n"/>
      <c r="H59" s="54" t="n"/>
      <c r="I59" s="54" t="n"/>
      <c r="J59" s="54" t="n"/>
      <c r="K59" s="54" t="n"/>
      <c r="L59" s="54" t="n"/>
      <c r="M59" s="54" t="n"/>
    </row>
    <row r="60" ht="15.75" customHeight="1" s="51">
      <c r="A60" s="102" t="n"/>
      <c r="B60" s="102" t="inlineStr">
        <is>
          <t>PENDING</t>
        </is>
      </c>
      <c r="C60" s="94">
        <f>COUNTIF(QR_Code!K:K,"PENDING")</f>
        <v/>
      </c>
      <c r="D60" s="54" t="n"/>
      <c r="E60" s="102" t="inlineStr">
        <is>
          <t>PENDING</t>
        </is>
      </c>
      <c r="F60" s="94">
        <f>COUNTIF(Commission_Listing!K:K,"PENDING")</f>
        <v/>
      </c>
      <c r="G60" s="54" t="n"/>
      <c r="H60" s="54" t="n"/>
      <c r="I60" s="54" t="n"/>
      <c r="J60" s="54" t="n"/>
      <c r="K60" s="54" t="n"/>
      <c r="L60" s="54" t="n"/>
      <c r="M60" s="54" t="n"/>
    </row>
    <row r="61" ht="15.75" customHeight="1" s="51">
      <c r="A61" s="102" t="n"/>
      <c r="B61" s="102" t="n"/>
      <c r="C61" s="94" t="n"/>
      <c r="D61" s="54" t="n"/>
      <c r="E61" s="54" t="n"/>
      <c r="F61" s="54" t="n"/>
      <c r="G61" s="54" t="n"/>
      <c r="H61" s="54" t="n"/>
      <c r="I61" s="54" t="n"/>
      <c r="J61" s="54" t="n"/>
      <c r="K61" s="54" t="n"/>
      <c r="L61" s="54" t="n"/>
      <c r="M61" s="54" t="n"/>
    </row>
    <row r="62" ht="15.75" customHeight="1" s="51">
      <c r="A62" s="102" t="n"/>
      <c r="B62" s="102" t="inlineStr">
        <is>
          <t>Fee_Listing</t>
        </is>
      </c>
      <c r="C62" s="94" t="n"/>
      <c r="D62" s="54" t="n"/>
      <c r="E62" s="102" t="inlineStr">
        <is>
          <t>User_List</t>
        </is>
      </c>
      <c r="F62" s="54" t="n"/>
      <c r="G62" s="54" t="n"/>
      <c r="H62" s="54" t="n"/>
      <c r="I62" s="54" t="n"/>
      <c r="J62" s="54" t="n"/>
      <c r="K62" s="54" t="n"/>
      <c r="L62" s="54" t="n"/>
      <c r="M62" s="54" t="n"/>
    </row>
    <row r="63" ht="15.75" customHeight="1" s="51">
      <c r="A63" s="102" t="n"/>
      <c r="B63" s="102" t="inlineStr">
        <is>
          <t>PASS</t>
        </is>
      </c>
      <c r="C63" s="94">
        <f>COUNTIF(Fee_Listing!K:K,"PASS")</f>
        <v/>
      </c>
      <c r="D63" s="54" t="n"/>
      <c r="E63" s="102" t="inlineStr">
        <is>
          <t>PASS</t>
        </is>
      </c>
      <c r="F63" s="94">
        <f>COUNTIF(User_List!K:K,"PASS")</f>
        <v/>
      </c>
      <c r="G63" s="54" t="n"/>
      <c r="H63" s="54" t="n"/>
      <c r="I63" s="54" t="n"/>
      <c r="J63" s="54" t="n"/>
      <c r="K63" s="54" t="n"/>
      <c r="L63" s="54" t="n"/>
      <c r="M63" s="54" t="n"/>
    </row>
    <row r="64" ht="15.75" customHeight="1" s="51">
      <c r="A64" s="102" t="n"/>
      <c r="B64" s="102" t="inlineStr">
        <is>
          <t>FAIL</t>
        </is>
      </c>
      <c r="C64" s="94">
        <f>COUNTIF(Fee_Listing!K:K,"FAIL")</f>
        <v/>
      </c>
      <c r="D64" s="54" t="n"/>
      <c r="E64" s="102" t="inlineStr">
        <is>
          <t>FAIL</t>
        </is>
      </c>
      <c r="F64" s="94">
        <f>COUNTIF(User_List!K:K,"FAIL")</f>
        <v/>
      </c>
      <c r="G64" s="54" t="n"/>
      <c r="H64" s="54" t="n"/>
      <c r="I64" s="54" t="n"/>
      <c r="J64" s="54" t="n"/>
      <c r="K64" s="54" t="n"/>
      <c r="L64" s="54" t="n"/>
      <c r="M64" s="54" t="n"/>
    </row>
    <row r="65" ht="15.75" customHeight="1" s="51">
      <c r="A65" s="102" t="n"/>
      <c r="B65" s="102" t="inlineStr">
        <is>
          <t>PENDING</t>
        </is>
      </c>
      <c r="C65" s="94">
        <f>COUNTIF(Fee_Listing!K:K,"PENDING")</f>
        <v/>
      </c>
      <c r="D65" s="54" t="n"/>
      <c r="E65" s="102" t="inlineStr">
        <is>
          <t>PENDING</t>
        </is>
      </c>
      <c r="F65" s="94">
        <f>COUNTIF(User_List!K:K,"PENDING")</f>
        <v/>
      </c>
      <c r="G65" s="54" t="n"/>
      <c r="H65" s="54" t="n"/>
      <c r="I65" s="54" t="n"/>
      <c r="J65" s="54" t="n"/>
      <c r="K65" s="54" t="n"/>
      <c r="L65" s="54" t="n"/>
      <c r="M65" s="54" t="n"/>
    </row>
    <row r="66" ht="15.75" customHeight="1" s="51">
      <c r="A66" s="102" t="n"/>
      <c r="B66" s="102" t="n"/>
      <c r="C66" s="94" t="n"/>
      <c r="D66" s="54" t="n"/>
      <c r="E66" s="54" t="n"/>
      <c r="F66" s="54" t="n"/>
      <c r="G66" s="54" t="n"/>
      <c r="H66" s="54" t="n"/>
      <c r="I66" s="54" t="n"/>
      <c r="J66" s="54" t="n"/>
      <c r="K66" s="54" t="n"/>
      <c r="L66" s="54" t="n"/>
      <c r="M66" s="54" t="n"/>
    </row>
    <row r="67" ht="15.75" customHeight="1" s="51">
      <c r="A67" s="102" t="n"/>
      <c r="B67" s="102" t="inlineStr">
        <is>
          <t>Home</t>
        </is>
      </c>
      <c r="C67" s="94" t="n"/>
      <c r="D67" s="54" t="n"/>
      <c r="E67" s="54" t="n"/>
      <c r="F67" s="54" t="n"/>
      <c r="G67" s="54" t="n"/>
      <c r="H67" s="54" t="n"/>
      <c r="I67" s="54" t="n"/>
      <c r="J67" s="54" t="n"/>
      <c r="K67" s="54" t="n"/>
      <c r="L67" s="54" t="n"/>
      <c r="M67" s="54" t="n"/>
    </row>
    <row r="68" ht="15.75" customHeight="1" s="51">
      <c r="A68" s="102" t="n"/>
      <c r="B68" s="102" t="inlineStr">
        <is>
          <t>PASS</t>
        </is>
      </c>
      <c r="C68" s="94">
        <f>COUNTIF(Home!K:K,"PASS")</f>
        <v/>
      </c>
      <c r="D68" s="54" t="n"/>
      <c r="E68" s="54" t="n"/>
      <c r="F68" s="54" t="n"/>
      <c r="G68" s="54" t="n"/>
      <c r="H68" s="54" t="n"/>
      <c r="I68" s="54" t="n"/>
      <c r="J68" s="54" t="n"/>
      <c r="K68" s="54" t="n"/>
      <c r="L68" s="54" t="n"/>
      <c r="M68" s="54" t="n"/>
    </row>
    <row r="69" ht="15.75" customHeight="1" s="51">
      <c r="A69" s="102" t="n"/>
      <c r="B69" s="102" t="inlineStr">
        <is>
          <t>FAIL</t>
        </is>
      </c>
      <c r="C69" s="94">
        <f>COUNTIF(Home!K:K,"FAIL")</f>
        <v/>
      </c>
      <c r="D69" s="54" t="n"/>
      <c r="E69" s="54" t="n"/>
      <c r="F69" s="54" t="n"/>
      <c r="G69" s="54" t="n"/>
      <c r="H69" s="54" t="n"/>
      <c r="I69" s="54" t="n"/>
      <c r="J69" s="54" t="n"/>
      <c r="K69" s="54" t="n"/>
      <c r="L69" s="54" t="n"/>
      <c r="M69" s="54" t="n"/>
    </row>
    <row r="70" ht="15.75" customHeight="1" s="51">
      <c r="A70" s="102" t="n"/>
      <c r="B70" s="102" t="inlineStr">
        <is>
          <t>PENDING</t>
        </is>
      </c>
      <c r="C70" s="94">
        <f>COUNTIF(Home!K:K,"PENDING")</f>
        <v/>
      </c>
      <c r="D70" s="54" t="n"/>
      <c r="E70" s="54" t="n"/>
      <c r="F70" s="54" t="n"/>
      <c r="G70" s="54" t="n"/>
      <c r="H70" s="54" t="n"/>
      <c r="I70" s="54" t="n"/>
      <c r="J70" s="54" t="n"/>
      <c r="K70" s="54" t="n"/>
      <c r="L70" s="54" t="n"/>
      <c r="M70" s="54" t="n"/>
    </row>
    <row r="71" ht="15.75" customHeight="1" s="51">
      <c r="A71" s="102" t="n"/>
      <c r="B71" s="102" t="n"/>
      <c r="C71" s="94" t="n"/>
      <c r="D71" s="54" t="n"/>
      <c r="E71" s="54" t="n"/>
      <c r="F71" s="54" t="n"/>
      <c r="G71" s="54" t="n"/>
      <c r="H71" s="54" t="n"/>
      <c r="I71" s="54" t="n"/>
      <c r="J71" s="54" t="n"/>
      <c r="K71" s="54" t="n"/>
      <c r="L71" s="54" t="n"/>
      <c r="M71" s="54" t="n"/>
    </row>
    <row r="72" ht="15.75" customHeight="1" s="51">
      <c r="A72" s="102" t="n"/>
      <c r="B72" s="102" t="n"/>
      <c r="C72" s="94" t="n"/>
      <c r="D72" s="54" t="n"/>
      <c r="E72" s="54" t="n"/>
      <c r="F72" s="54" t="n"/>
      <c r="G72" s="54" t="n"/>
      <c r="H72" s="54" t="n"/>
      <c r="I72" s="54" t="n"/>
      <c r="J72" s="54" t="n"/>
      <c r="K72" s="54" t="n"/>
      <c r="L72" s="54" t="n"/>
      <c r="M72" s="54" t="n"/>
    </row>
    <row r="73" ht="15.75" customHeight="1" s="51">
      <c r="A73" s="102" t="n"/>
      <c r="B73" s="102" t="n"/>
      <c r="C73" s="94" t="n"/>
      <c r="D73" s="54" t="n"/>
      <c r="E73" s="54" t="n"/>
      <c r="F73" s="54" t="n"/>
      <c r="G73" s="54" t="n"/>
      <c r="H73" s="54" t="n"/>
      <c r="I73" s="54" t="n"/>
      <c r="J73" s="54" t="n"/>
      <c r="K73" s="54" t="n"/>
      <c r="L73" s="54" t="n"/>
      <c r="M73" s="54" t="n"/>
    </row>
    <row r="74" ht="15.75" customHeight="1" s="51">
      <c r="A74" s="102" t="n"/>
      <c r="B74" s="102" t="n"/>
      <c r="C74" s="94" t="n"/>
      <c r="D74" s="54" t="n"/>
      <c r="E74" s="54" t="n"/>
      <c r="F74" s="54" t="n"/>
      <c r="G74" s="54" t="n"/>
      <c r="H74" s="54" t="n"/>
      <c r="I74" s="54" t="n"/>
      <c r="J74" s="54" t="n"/>
      <c r="K74" s="54" t="n"/>
      <c r="L74" s="54" t="n"/>
      <c r="M74" s="54" t="n"/>
    </row>
    <row r="75" ht="15.75" customHeight="1" s="51">
      <c r="A75" s="102" t="n"/>
      <c r="B75" s="102" t="n"/>
      <c r="C75" s="94" t="n"/>
      <c r="D75" s="54" t="n"/>
      <c r="E75" s="54" t="n"/>
      <c r="F75" s="54" t="n"/>
      <c r="G75" s="54" t="n"/>
      <c r="H75" s="54" t="n"/>
      <c r="I75" s="54" t="n"/>
      <c r="J75" s="54" t="n"/>
      <c r="K75" s="54" t="n"/>
      <c r="L75" s="54" t="n"/>
      <c r="M75" s="54" t="n"/>
    </row>
    <row r="76" ht="15.75" customHeight="1" s="51">
      <c r="A76" s="102" t="n"/>
      <c r="B76" s="102" t="n"/>
      <c r="C76" s="94" t="n"/>
      <c r="D76" s="54" t="n"/>
      <c r="E76" s="54" t="n"/>
      <c r="F76" s="54" t="n"/>
      <c r="G76" s="54" t="n"/>
      <c r="H76" s="54" t="n"/>
      <c r="I76" s="54" t="n"/>
      <c r="J76" s="54" t="n"/>
      <c r="K76" s="54" t="n"/>
      <c r="L76" s="54" t="n"/>
      <c r="M76" s="54" t="n"/>
    </row>
    <row r="77" ht="15.75" customHeight="1" s="51">
      <c r="A77" s="102" t="n"/>
      <c r="B77" s="102" t="n"/>
      <c r="C77" s="94" t="n"/>
      <c r="D77" s="54" t="n"/>
      <c r="E77" s="54" t="n"/>
      <c r="F77" s="54" t="n"/>
      <c r="G77" s="54" t="n"/>
      <c r="H77" s="54" t="n"/>
      <c r="I77" s="54" t="n"/>
      <c r="J77" s="54" t="n"/>
      <c r="K77" s="54" t="n"/>
      <c r="L77" s="54" t="n"/>
      <c r="M77" s="54" t="n"/>
    </row>
    <row r="78" ht="15.75" customHeight="1" s="51">
      <c r="A78" s="102" t="n"/>
      <c r="B78" s="102" t="n"/>
      <c r="C78" s="94" t="n"/>
      <c r="D78" s="54" t="n"/>
      <c r="E78" s="54" t="n"/>
      <c r="F78" s="54" t="n"/>
      <c r="G78" s="54" t="n"/>
      <c r="H78" s="54" t="n"/>
      <c r="I78" s="54" t="n"/>
      <c r="J78" s="54" t="n"/>
      <c r="K78" s="54" t="n"/>
      <c r="L78" s="54" t="n"/>
      <c r="M78" s="54" t="n"/>
    </row>
    <row r="79" ht="15.75" customHeight="1" s="51">
      <c r="A79" s="102" t="n"/>
      <c r="B79" s="102" t="n"/>
      <c r="C79" s="94" t="n"/>
      <c r="D79" s="54" t="n"/>
      <c r="E79" s="54" t="n"/>
      <c r="F79" s="54" t="n"/>
      <c r="G79" s="54" t="n"/>
      <c r="H79" s="54" t="n"/>
      <c r="I79" s="54" t="n"/>
      <c r="J79" s="54" t="n"/>
      <c r="K79" s="54" t="n"/>
      <c r="L79" s="54" t="n"/>
      <c r="M79" s="54" t="n"/>
    </row>
    <row r="80" ht="15.75" customHeight="1" s="51">
      <c r="A80" s="102" t="n"/>
      <c r="B80" s="102" t="n"/>
      <c r="C80" s="94" t="n"/>
      <c r="D80" s="54" t="n"/>
      <c r="E80" s="54" t="n"/>
      <c r="F80" s="54" t="n"/>
      <c r="G80" s="54" t="n"/>
      <c r="H80" s="54" t="n"/>
      <c r="I80" s="54" t="n"/>
      <c r="J80" s="54" t="n"/>
      <c r="K80" s="54" t="n"/>
      <c r="L80" s="54" t="n"/>
      <c r="M80" s="54" t="n"/>
    </row>
    <row r="81" ht="15.75" customHeight="1" s="51">
      <c r="A81" s="102" t="n"/>
      <c r="B81" s="102" t="n"/>
      <c r="C81" s="94" t="n"/>
      <c r="D81" s="54" t="n"/>
      <c r="E81" s="54" t="n"/>
      <c r="F81" s="54" t="n"/>
      <c r="G81" s="54" t="n"/>
      <c r="H81" s="54" t="n"/>
      <c r="I81" s="54" t="n"/>
      <c r="J81" s="54" t="n"/>
      <c r="K81" s="54" t="n"/>
      <c r="L81" s="54" t="n"/>
      <c r="M81" s="54" t="n"/>
    </row>
    <row r="82" ht="15.75" customHeight="1" s="51">
      <c r="A82" s="102" t="n"/>
      <c r="B82" s="102" t="n"/>
      <c r="C82" s="94" t="n"/>
      <c r="D82" s="54" t="n"/>
      <c r="E82" s="54" t="n"/>
      <c r="F82" s="54" t="n"/>
      <c r="G82" s="54" t="n"/>
      <c r="H82" s="54" t="n"/>
      <c r="I82" s="54" t="n"/>
      <c r="J82" s="54" t="n"/>
      <c r="K82" s="54" t="n"/>
      <c r="L82" s="54" t="n"/>
      <c r="M82" s="54" t="n"/>
    </row>
    <row r="83" ht="15.75" customHeight="1" s="51">
      <c r="A83" s="102" t="n"/>
      <c r="B83" s="102" t="n"/>
      <c r="C83" s="94" t="n"/>
      <c r="D83" s="54" t="n"/>
      <c r="E83" s="54" t="n"/>
      <c r="F83" s="54" t="n"/>
      <c r="G83" s="54" t="n"/>
      <c r="H83" s="54" t="n"/>
      <c r="I83" s="54" t="n"/>
      <c r="J83" s="54" t="n"/>
      <c r="K83" s="54" t="n"/>
      <c r="L83" s="54" t="n"/>
      <c r="M83" s="54" t="n"/>
    </row>
    <row r="84" ht="15.75" customHeight="1" s="51">
      <c r="A84" s="102" t="n"/>
      <c r="B84" s="102" t="n"/>
      <c r="C84" s="94" t="n"/>
      <c r="D84" s="54" t="n"/>
      <c r="E84" s="54" t="n"/>
      <c r="F84" s="54" t="n"/>
      <c r="G84" s="54" t="n"/>
      <c r="H84" s="54" t="n"/>
      <c r="I84" s="54" t="n"/>
      <c r="J84" s="54" t="n"/>
      <c r="K84" s="54" t="n"/>
      <c r="L84" s="54" t="n"/>
      <c r="M84" s="54" t="n"/>
    </row>
    <row r="85" ht="15.75" customHeight="1" s="51">
      <c r="A85" s="102" t="n"/>
      <c r="B85" s="102" t="n"/>
      <c r="C85" s="94" t="n"/>
      <c r="D85" s="54" t="n"/>
      <c r="E85" s="54" t="n"/>
      <c r="F85" s="54" t="n"/>
      <c r="G85" s="54" t="n"/>
      <c r="H85" s="54" t="n"/>
      <c r="I85" s="54" t="n"/>
      <c r="J85" s="54" t="n"/>
      <c r="K85" s="54" t="n"/>
      <c r="L85" s="54" t="n"/>
      <c r="M85" s="54" t="n"/>
    </row>
    <row r="86" ht="15.75" customHeight="1" s="51">
      <c r="A86" s="102" t="n"/>
      <c r="B86" s="102" t="n"/>
      <c r="C86" s="94" t="n"/>
      <c r="D86" s="54" t="n"/>
      <c r="E86" s="54" t="n"/>
      <c r="F86" s="54" t="n"/>
      <c r="G86" s="54" t="n"/>
      <c r="H86" s="54" t="n"/>
      <c r="I86" s="54" t="n"/>
      <c r="J86" s="54" t="n"/>
      <c r="K86" s="54" t="n"/>
      <c r="L86" s="54" t="n"/>
      <c r="M86" s="54" t="n"/>
    </row>
    <row r="87" ht="15.75" customHeight="1" s="51">
      <c r="A87" s="102" t="n"/>
      <c r="B87" s="102" t="n"/>
      <c r="C87" s="94" t="n"/>
      <c r="D87" s="54" t="n"/>
      <c r="E87" s="54" t="n"/>
      <c r="F87" s="54" t="n"/>
      <c r="G87" s="54" t="n"/>
      <c r="H87" s="54" t="n"/>
      <c r="I87" s="54" t="n"/>
      <c r="J87" s="54" t="n"/>
      <c r="K87" s="54" t="n"/>
      <c r="L87" s="54" t="n"/>
      <c r="M87" s="54" t="n"/>
    </row>
    <row r="88" ht="15.75" customHeight="1" s="51">
      <c r="A88" s="102" t="n"/>
      <c r="B88" s="102" t="n"/>
      <c r="C88" s="94" t="n"/>
      <c r="D88" s="54" t="n"/>
      <c r="E88" s="54" t="n"/>
      <c r="F88" s="54" t="n"/>
      <c r="G88" s="54" t="n"/>
      <c r="H88" s="54" t="n"/>
      <c r="I88" s="54" t="n"/>
      <c r="J88" s="54" t="n"/>
      <c r="K88" s="54" t="n"/>
      <c r="L88" s="54" t="n"/>
      <c r="M88" s="54" t="n"/>
    </row>
    <row r="89" ht="15.75" customHeight="1" s="51">
      <c r="A89" s="102" t="n"/>
      <c r="B89" s="102" t="n"/>
      <c r="C89" s="94" t="n"/>
      <c r="D89" s="54" t="n"/>
      <c r="E89" s="54" t="n"/>
      <c r="F89" s="54" t="n"/>
      <c r="G89" s="54" t="n"/>
      <c r="H89" s="54" t="n"/>
      <c r="I89" s="54" t="n"/>
      <c r="J89" s="54" t="n"/>
      <c r="K89" s="54" t="n"/>
      <c r="L89" s="54" t="n"/>
      <c r="M89" s="54" t="n"/>
    </row>
    <row r="90" ht="15.75" customHeight="1" s="51">
      <c r="A90" s="102" t="n"/>
      <c r="B90" s="102" t="n"/>
      <c r="C90" s="94" t="n"/>
      <c r="D90" s="54" t="n"/>
      <c r="E90" s="54" t="n"/>
      <c r="F90" s="54" t="n"/>
      <c r="G90" s="54" t="n"/>
      <c r="H90" s="54" t="n"/>
      <c r="I90" s="54" t="n"/>
      <c r="J90" s="54" t="n"/>
      <c r="K90" s="54" t="n"/>
      <c r="L90" s="54" t="n"/>
      <c r="M90" s="54" t="n"/>
    </row>
    <row r="91" ht="15.75" customHeight="1" s="51">
      <c r="A91" s="102" t="n"/>
      <c r="B91" s="102" t="n"/>
      <c r="C91" s="94" t="n"/>
      <c r="D91" s="54" t="n"/>
      <c r="E91" s="54" t="n"/>
      <c r="F91" s="54" t="n"/>
      <c r="G91" s="54" t="n"/>
      <c r="H91" s="54" t="n"/>
      <c r="I91" s="54" t="n"/>
      <c r="J91" s="54" t="n"/>
      <c r="K91" s="54" t="n"/>
      <c r="L91" s="54" t="n"/>
      <c r="M91" s="54" t="n"/>
    </row>
    <row r="92" ht="15.75" customHeight="1" s="51">
      <c r="A92" s="102" t="n"/>
      <c r="B92" s="102" t="n"/>
      <c r="C92" s="94" t="n"/>
      <c r="D92" s="54" t="n"/>
      <c r="E92" s="54" t="n"/>
      <c r="F92" s="54" t="n"/>
      <c r="G92" s="54" t="n"/>
      <c r="H92" s="54" t="n"/>
      <c r="I92" s="54" t="n"/>
      <c r="J92" s="54" t="n"/>
      <c r="K92" s="54" t="n"/>
      <c r="L92" s="54" t="n"/>
      <c r="M92" s="54" t="n"/>
    </row>
    <row r="93" ht="15.75" customHeight="1" s="51">
      <c r="A93" s="102" t="n"/>
      <c r="B93" s="102" t="n"/>
      <c r="C93" s="94" t="n"/>
      <c r="D93" s="54" t="n"/>
      <c r="E93" s="54" t="n"/>
      <c r="F93" s="54" t="n"/>
      <c r="G93" s="54" t="n"/>
      <c r="H93" s="54" t="n"/>
      <c r="I93" s="54" t="n"/>
      <c r="J93" s="54" t="n"/>
      <c r="K93" s="54" t="n"/>
      <c r="L93" s="54" t="n"/>
      <c r="M93" s="54" t="n"/>
    </row>
    <row r="94" ht="15.75" customHeight="1" s="51">
      <c r="A94" s="102" t="n"/>
      <c r="B94" s="102" t="n"/>
      <c r="C94" s="94" t="n"/>
      <c r="D94" s="54" t="n"/>
      <c r="E94" s="54" t="n"/>
      <c r="F94" s="54" t="n"/>
      <c r="G94" s="54" t="n"/>
      <c r="H94" s="54" t="n"/>
      <c r="I94" s="54" t="n"/>
      <c r="J94" s="54" t="n"/>
      <c r="K94" s="54" t="n"/>
      <c r="L94" s="54" t="n"/>
      <c r="M94" s="54" t="n"/>
    </row>
    <row r="95" ht="15.75" customHeight="1" s="51">
      <c r="A95" s="102" t="n"/>
      <c r="B95" s="102" t="n"/>
      <c r="C95" s="94" t="n"/>
      <c r="D95" s="54" t="n"/>
      <c r="E95" s="54" t="n"/>
      <c r="F95" s="54" t="n"/>
      <c r="G95" s="54" t="n"/>
      <c r="H95" s="54" t="n"/>
      <c r="I95" s="54" t="n"/>
      <c r="J95" s="54" t="n"/>
      <c r="K95" s="54" t="n"/>
      <c r="L95" s="54" t="n"/>
      <c r="M95" s="54" t="n"/>
    </row>
    <row r="96" ht="15.75" customHeight="1" s="51">
      <c r="A96" s="102" t="n"/>
      <c r="B96" s="102" t="n"/>
      <c r="C96" s="94" t="n"/>
      <c r="D96" s="54" t="n"/>
      <c r="E96" s="54" t="n"/>
      <c r="F96" s="54" t="n"/>
      <c r="G96" s="54" t="n"/>
      <c r="H96" s="54" t="n"/>
      <c r="I96" s="54" t="n"/>
      <c r="J96" s="54" t="n"/>
      <c r="K96" s="54" t="n"/>
      <c r="L96" s="54" t="n"/>
      <c r="M96" s="54" t="n"/>
    </row>
    <row r="97" ht="15.75" customHeight="1" s="51">
      <c r="A97" s="102" t="n"/>
      <c r="B97" s="102" t="n"/>
      <c r="C97" s="94" t="n"/>
      <c r="D97" s="54" t="n"/>
      <c r="E97" s="54" t="n"/>
      <c r="F97" s="54" t="n"/>
      <c r="G97" s="54" t="n"/>
      <c r="H97" s="54" t="n"/>
      <c r="I97" s="54" t="n"/>
      <c r="J97" s="54" t="n"/>
      <c r="K97" s="54" t="n"/>
      <c r="L97" s="54" t="n"/>
      <c r="M97" s="54" t="n"/>
    </row>
    <row r="98" ht="15.75" customHeight="1" s="51">
      <c r="A98" s="102" t="n"/>
      <c r="B98" s="102" t="n"/>
      <c r="C98" s="94" t="n"/>
      <c r="D98" s="54" t="n"/>
      <c r="E98" s="54" t="n"/>
      <c r="F98" s="54" t="n"/>
      <c r="G98" s="54" t="n"/>
      <c r="H98" s="54" t="n"/>
      <c r="I98" s="54" t="n"/>
      <c r="J98" s="54" t="n"/>
      <c r="K98" s="54" t="n"/>
      <c r="L98" s="54" t="n"/>
      <c r="M98" s="54" t="n"/>
    </row>
    <row r="99" ht="15.75" customHeight="1" s="51">
      <c r="A99" s="102" t="n"/>
      <c r="B99" s="102" t="n"/>
      <c r="C99" s="94" t="n"/>
      <c r="D99" s="54" t="n"/>
      <c r="E99" s="54" t="n"/>
      <c r="F99" s="54" t="n"/>
      <c r="G99" s="54" t="n"/>
      <c r="H99" s="54" t="n"/>
      <c r="I99" s="54" t="n"/>
      <c r="J99" s="54" t="n"/>
      <c r="K99" s="54" t="n"/>
      <c r="L99" s="54" t="n"/>
      <c r="M99" s="54" t="n"/>
    </row>
    <row r="100" ht="15.75" customHeight="1" s="51">
      <c r="A100" s="102" t="n"/>
      <c r="B100" s="102" t="n"/>
      <c r="C100" s="94" t="n"/>
      <c r="D100" s="54" t="n"/>
      <c r="E100" s="54" t="n"/>
      <c r="F100" s="54" t="n"/>
      <c r="G100" s="54" t="n"/>
      <c r="H100" s="54" t="n"/>
      <c r="I100" s="54" t="n"/>
      <c r="J100" s="54" t="n"/>
      <c r="K100" s="54" t="n"/>
      <c r="L100" s="54" t="n"/>
      <c r="M100" s="54" t="n"/>
    </row>
    <row r="101" ht="15.75" customHeight="1" s="51">
      <c r="A101" s="102" t="n"/>
      <c r="B101" s="102" t="n"/>
      <c r="C101" s="94" t="n"/>
      <c r="D101" s="54" t="n"/>
      <c r="E101" s="54" t="n"/>
      <c r="F101" s="54" t="n"/>
      <c r="G101" s="54" t="n"/>
      <c r="H101" s="54" t="n"/>
      <c r="I101" s="54" t="n"/>
      <c r="J101" s="54" t="n"/>
      <c r="K101" s="54" t="n"/>
      <c r="L101" s="54" t="n"/>
      <c r="M101" s="54" t="n"/>
    </row>
    <row r="102" ht="15.75" customHeight="1" s="51">
      <c r="A102" s="102" t="n"/>
      <c r="B102" s="102" t="n"/>
      <c r="C102" s="94" t="n"/>
      <c r="D102" s="54" t="n"/>
      <c r="E102" s="54" t="n"/>
      <c r="F102" s="54" t="n"/>
      <c r="G102" s="54" t="n"/>
      <c r="H102" s="54" t="n"/>
      <c r="I102" s="54" t="n"/>
      <c r="J102" s="54" t="n"/>
      <c r="K102" s="54" t="n"/>
      <c r="L102" s="54" t="n"/>
      <c r="M102" s="54" t="n"/>
    </row>
    <row r="103" ht="15.75" customHeight="1" s="51">
      <c r="A103" s="102" t="n"/>
      <c r="B103" s="102" t="n"/>
      <c r="C103" s="94" t="n"/>
      <c r="D103" s="54" t="n"/>
      <c r="E103" s="54" t="n"/>
      <c r="F103" s="54" t="n"/>
      <c r="G103" s="54" t="n"/>
      <c r="H103" s="54" t="n"/>
      <c r="I103" s="54" t="n"/>
      <c r="J103" s="54" t="n"/>
      <c r="K103" s="54" t="n"/>
      <c r="L103" s="54" t="n"/>
      <c r="M103" s="54" t="n"/>
    </row>
    <row r="104" ht="15.75" customHeight="1" s="51">
      <c r="A104" s="102" t="n"/>
      <c r="B104" s="102" t="n"/>
      <c r="C104" s="94" t="n"/>
      <c r="D104" s="54" t="n"/>
      <c r="E104" s="54" t="n"/>
      <c r="F104" s="54" t="n"/>
      <c r="G104" s="54" t="n"/>
      <c r="H104" s="54" t="n"/>
      <c r="I104" s="54" t="n"/>
      <c r="J104" s="54" t="n"/>
      <c r="K104" s="54" t="n"/>
      <c r="L104" s="54" t="n"/>
      <c r="M104" s="54" t="n"/>
    </row>
    <row r="105" ht="15.75" customHeight="1" s="51">
      <c r="A105" s="102" t="n"/>
      <c r="B105" s="102" t="n"/>
      <c r="C105" s="94" t="n"/>
      <c r="D105" s="54" t="n"/>
      <c r="E105" s="54" t="n"/>
      <c r="F105" s="54" t="n"/>
      <c r="G105" s="54" t="n"/>
      <c r="H105" s="54" t="n"/>
      <c r="I105" s="54" t="n"/>
      <c r="J105" s="54" t="n"/>
      <c r="K105" s="54" t="n"/>
      <c r="L105" s="54" t="n"/>
      <c r="M105" s="54" t="n"/>
    </row>
    <row r="106" ht="15.75" customHeight="1" s="51">
      <c r="A106" s="102" t="n"/>
      <c r="B106" s="102" t="n"/>
      <c r="C106" s="94" t="n"/>
      <c r="D106" s="54" t="n"/>
      <c r="E106" s="54" t="n"/>
      <c r="F106" s="54" t="n"/>
      <c r="G106" s="54" t="n"/>
      <c r="H106" s="54" t="n"/>
      <c r="I106" s="54" t="n"/>
      <c r="J106" s="54" t="n"/>
      <c r="K106" s="54" t="n"/>
      <c r="L106" s="54" t="n"/>
      <c r="M106" s="54" t="n"/>
    </row>
    <row r="107" ht="15.75" customHeight="1" s="51">
      <c r="A107" s="102" t="n"/>
      <c r="B107" s="102" t="n"/>
      <c r="C107" s="94" t="n"/>
      <c r="D107" s="54" t="n"/>
      <c r="E107" s="54" t="n"/>
      <c r="F107" s="54" t="n"/>
      <c r="G107" s="54" t="n"/>
      <c r="H107" s="54" t="n"/>
      <c r="I107" s="54" t="n"/>
      <c r="J107" s="54" t="n"/>
      <c r="K107" s="54" t="n"/>
      <c r="L107" s="54" t="n"/>
      <c r="M107" s="54" t="n"/>
    </row>
    <row r="108" ht="15.75" customHeight="1" s="51">
      <c r="A108" s="102" t="n"/>
      <c r="B108" s="102" t="n"/>
      <c r="C108" s="94" t="n"/>
      <c r="D108" s="54" t="n"/>
      <c r="E108" s="54" t="n"/>
      <c r="F108" s="54" t="n"/>
      <c r="G108" s="54" t="n"/>
      <c r="H108" s="54" t="n"/>
      <c r="I108" s="54" t="n"/>
      <c r="J108" s="54" t="n"/>
      <c r="K108" s="54" t="n"/>
      <c r="L108" s="54" t="n"/>
      <c r="M108" s="54" t="n"/>
    </row>
    <row r="109" ht="15.75" customHeight="1" s="51">
      <c r="A109" s="102" t="n"/>
      <c r="B109" s="102" t="n"/>
      <c r="C109" s="94" t="n"/>
      <c r="D109" s="54" t="n"/>
      <c r="E109" s="54" t="n"/>
      <c r="F109" s="54" t="n"/>
      <c r="G109" s="54" t="n"/>
      <c r="H109" s="54" t="n"/>
      <c r="I109" s="54" t="n"/>
      <c r="J109" s="54" t="n"/>
      <c r="K109" s="54" t="n"/>
      <c r="L109" s="54" t="n"/>
      <c r="M109" s="54" t="n"/>
    </row>
    <row r="110" ht="15.75" customHeight="1" s="51">
      <c r="A110" s="102" t="n"/>
      <c r="B110" s="102" t="n"/>
      <c r="C110" s="94" t="n"/>
      <c r="D110" s="54" t="n"/>
      <c r="E110" s="54" t="n"/>
      <c r="F110" s="54" t="n"/>
      <c r="G110" s="54" t="n"/>
      <c r="H110" s="54" t="n"/>
      <c r="I110" s="54" t="n"/>
      <c r="J110" s="54" t="n"/>
      <c r="K110" s="54" t="n"/>
      <c r="L110" s="54" t="n"/>
      <c r="M110" s="54" t="n"/>
    </row>
    <row r="111" ht="15.75" customHeight="1" s="51">
      <c r="A111" s="102" t="n"/>
      <c r="B111" s="102" t="n"/>
      <c r="C111" s="94" t="n"/>
      <c r="D111" s="54" t="n"/>
      <c r="E111" s="54" t="n"/>
      <c r="F111" s="54" t="n"/>
      <c r="G111" s="54" t="n"/>
      <c r="H111" s="54" t="n"/>
      <c r="I111" s="54" t="n"/>
      <c r="J111" s="54" t="n"/>
      <c r="K111" s="54" t="n"/>
      <c r="L111" s="54" t="n"/>
      <c r="M111" s="54" t="n"/>
    </row>
    <row r="112" ht="15.75" customHeight="1" s="51">
      <c r="A112" s="102" t="n"/>
      <c r="B112" s="102" t="n"/>
      <c r="C112" s="94" t="n"/>
      <c r="D112" s="54" t="n"/>
      <c r="E112" s="54" t="n"/>
      <c r="F112" s="54" t="n"/>
      <c r="G112" s="54" t="n"/>
      <c r="H112" s="54" t="n"/>
      <c r="I112" s="54" t="n"/>
      <c r="J112" s="54" t="n"/>
      <c r="K112" s="54" t="n"/>
      <c r="L112" s="54" t="n"/>
      <c r="M112" s="54" t="n"/>
    </row>
    <row r="113" ht="15.75" customHeight="1" s="51">
      <c r="A113" s="102" t="n"/>
      <c r="B113" s="102" t="n"/>
      <c r="C113" s="94" t="n"/>
      <c r="D113" s="54" t="n"/>
      <c r="E113" s="54" t="n"/>
      <c r="F113" s="54" t="n"/>
      <c r="G113" s="54" t="n"/>
      <c r="H113" s="54" t="n"/>
      <c r="I113" s="54" t="n"/>
      <c r="J113" s="54" t="n"/>
      <c r="K113" s="54" t="n"/>
      <c r="L113" s="54" t="n"/>
      <c r="M113" s="54" t="n"/>
    </row>
    <row r="114" ht="15.75" customHeight="1" s="51">
      <c r="A114" s="102" t="n"/>
      <c r="B114" s="102" t="n"/>
      <c r="C114" s="94" t="n"/>
      <c r="D114" s="54" t="n"/>
      <c r="E114" s="54" t="n"/>
      <c r="F114" s="54" t="n"/>
      <c r="G114" s="54" t="n"/>
      <c r="H114" s="54" t="n"/>
      <c r="I114" s="54" t="n"/>
      <c r="J114" s="54" t="n"/>
      <c r="K114" s="54" t="n"/>
      <c r="L114" s="54" t="n"/>
      <c r="M114" s="54" t="n"/>
    </row>
    <row r="115" ht="15.75" customHeight="1" s="51">
      <c r="A115" s="102" t="n"/>
      <c r="B115" s="102" t="n"/>
      <c r="C115" s="94" t="n"/>
      <c r="D115" s="54" t="n"/>
      <c r="E115" s="54" t="n"/>
      <c r="F115" s="54" t="n"/>
      <c r="G115" s="54" t="n"/>
      <c r="H115" s="54" t="n"/>
      <c r="I115" s="54" t="n"/>
      <c r="J115" s="54" t="n"/>
      <c r="K115" s="54" t="n"/>
      <c r="L115" s="54" t="n"/>
      <c r="M115" s="54" t="n"/>
    </row>
    <row r="116" ht="15.75" customHeight="1" s="51">
      <c r="A116" s="102" t="n"/>
      <c r="B116" s="102" t="n"/>
      <c r="C116" s="94" t="n"/>
      <c r="D116" s="54" t="n"/>
      <c r="E116" s="54" t="n"/>
      <c r="F116" s="54" t="n"/>
      <c r="G116" s="54" t="n"/>
      <c r="H116" s="54" t="n"/>
      <c r="I116" s="54" t="n"/>
      <c r="J116" s="54" t="n"/>
      <c r="K116" s="54" t="n"/>
      <c r="L116" s="54" t="n"/>
      <c r="M116" s="54" t="n"/>
    </row>
    <row r="117" ht="15.75" customHeight="1" s="51">
      <c r="A117" s="102" t="n"/>
      <c r="B117" s="102" t="n"/>
      <c r="C117" s="94" t="n"/>
      <c r="D117" s="54" t="n"/>
      <c r="E117" s="54" t="n"/>
      <c r="F117" s="54" t="n"/>
      <c r="G117" s="54" t="n"/>
      <c r="H117" s="54" t="n"/>
      <c r="I117" s="54" t="n"/>
      <c r="J117" s="54" t="n"/>
      <c r="K117" s="54" t="n"/>
      <c r="L117" s="54" t="n"/>
      <c r="M117" s="54" t="n"/>
    </row>
    <row r="118" ht="15.75" customHeight="1" s="51">
      <c r="A118" s="102" t="n"/>
      <c r="B118" s="102" t="n"/>
      <c r="C118" s="94" t="n"/>
      <c r="D118" s="54" t="n"/>
      <c r="E118" s="54" t="n"/>
      <c r="F118" s="54" t="n"/>
      <c r="G118" s="54" t="n"/>
      <c r="H118" s="54" t="n"/>
      <c r="I118" s="54" t="n"/>
      <c r="J118" s="54" t="n"/>
      <c r="K118" s="54" t="n"/>
      <c r="L118" s="54" t="n"/>
      <c r="M118" s="54" t="n"/>
    </row>
    <row r="119" ht="15.75" customHeight="1" s="51">
      <c r="A119" s="102" t="n"/>
      <c r="B119" s="102" t="n"/>
      <c r="C119" s="94" t="n"/>
      <c r="D119" s="54" t="n"/>
      <c r="E119" s="54" t="n"/>
      <c r="F119" s="54" t="n"/>
      <c r="G119" s="54" t="n"/>
      <c r="H119" s="54" t="n"/>
      <c r="I119" s="54" t="n"/>
      <c r="J119" s="54" t="n"/>
      <c r="K119" s="54" t="n"/>
      <c r="L119" s="54" t="n"/>
      <c r="M119" s="54" t="n"/>
    </row>
    <row r="120" ht="15.75" customHeight="1" s="51">
      <c r="A120" s="102" t="n"/>
      <c r="B120" s="102" t="n"/>
      <c r="C120" s="94" t="n"/>
      <c r="D120" s="54" t="n"/>
      <c r="E120" s="54" t="n"/>
      <c r="F120" s="54" t="n"/>
      <c r="G120" s="54" t="n"/>
      <c r="H120" s="54" t="n"/>
      <c r="I120" s="54" t="n"/>
      <c r="J120" s="54" t="n"/>
      <c r="K120" s="54" t="n"/>
      <c r="L120" s="54" t="n"/>
      <c r="M120" s="54" t="n"/>
    </row>
    <row r="121" ht="15.75" customHeight="1" s="51">
      <c r="A121" s="102" t="n"/>
      <c r="B121" s="102" t="n"/>
      <c r="C121" s="94" t="n"/>
      <c r="D121" s="54" t="n"/>
      <c r="E121" s="54" t="n"/>
      <c r="F121" s="54" t="n"/>
      <c r="G121" s="54" t="n"/>
      <c r="H121" s="54" t="n"/>
      <c r="I121" s="54" t="n"/>
      <c r="J121" s="54" t="n"/>
      <c r="K121" s="54" t="n"/>
      <c r="L121" s="54" t="n"/>
      <c r="M121" s="54" t="n"/>
    </row>
    <row r="122" ht="15.75" customHeight="1" s="51">
      <c r="A122" s="102" t="n"/>
      <c r="B122" s="102" t="n"/>
      <c r="C122" s="94" t="n"/>
      <c r="D122" s="54" t="n"/>
      <c r="E122" s="54" t="n"/>
      <c r="F122" s="54" t="n"/>
      <c r="G122" s="54" t="n"/>
      <c r="H122" s="54" t="n"/>
      <c r="I122" s="54" t="n"/>
      <c r="J122" s="54" t="n"/>
      <c r="K122" s="54" t="n"/>
      <c r="L122" s="54" t="n"/>
      <c r="M122" s="54" t="n"/>
    </row>
    <row r="123" ht="15.75" customHeight="1" s="51">
      <c r="A123" s="102" t="n"/>
      <c r="B123" s="102" t="n"/>
      <c r="C123" s="94" t="n"/>
      <c r="D123" s="54" t="n"/>
      <c r="E123" s="54" t="n"/>
      <c r="F123" s="54" t="n"/>
      <c r="G123" s="54" t="n"/>
      <c r="H123" s="54" t="n"/>
      <c r="I123" s="54" t="n"/>
      <c r="J123" s="54" t="n"/>
      <c r="K123" s="54" t="n"/>
      <c r="L123" s="54" t="n"/>
      <c r="M123" s="54" t="n"/>
    </row>
    <row r="124" ht="15.75" customHeight="1" s="51">
      <c r="A124" s="102" t="n"/>
      <c r="B124" s="102" t="n"/>
      <c r="C124" s="94" t="n"/>
      <c r="D124" s="54" t="n"/>
      <c r="E124" s="54" t="n"/>
      <c r="F124" s="54" t="n"/>
      <c r="G124" s="54" t="n"/>
      <c r="H124" s="54" t="n"/>
      <c r="I124" s="54" t="n"/>
      <c r="J124" s="54" t="n"/>
      <c r="K124" s="54" t="n"/>
      <c r="L124" s="54" t="n"/>
      <c r="M124" s="54" t="n"/>
    </row>
    <row r="125" ht="15.75" customHeight="1" s="51">
      <c r="A125" s="102" t="n"/>
      <c r="B125" s="102" t="n"/>
      <c r="C125" s="94" t="n"/>
      <c r="D125" s="54" t="n"/>
      <c r="E125" s="54" t="n"/>
      <c r="F125" s="54" t="n"/>
      <c r="G125" s="54" t="n"/>
      <c r="H125" s="54" t="n"/>
      <c r="I125" s="54" t="n"/>
      <c r="J125" s="54" t="n"/>
      <c r="K125" s="54" t="n"/>
      <c r="L125" s="54" t="n"/>
      <c r="M125" s="54" t="n"/>
    </row>
    <row r="126" ht="15.75" customHeight="1" s="51">
      <c r="A126" s="102" t="n"/>
      <c r="B126" s="102" t="n"/>
      <c r="C126" s="94" t="n"/>
      <c r="D126" s="54" t="n"/>
      <c r="E126" s="54" t="n"/>
      <c r="F126" s="54" t="n"/>
      <c r="G126" s="54" t="n"/>
      <c r="H126" s="54" t="n"/>
      <c r="I126" s="54" t="n"/>
      <c r="J126" s="54" t="n"/>
      <c r="K126" s="54" t="n"/>
      <c r="L126" s="54" t="n"/>
      <c r="M126" s="54" t="n"/>
    </row>
    <row r="127" ht="15.75" customHeight="1" s="51">
      <c r="A127" s="102" t="n"/>
      <c r="B127" s="102" t="n"/>
      <c r="C127" s="94" t="n"/>
      <c r="D127" s="54" t="n"/>
      <c r="E127" s="54" t="n"/>
      <c r="F127" s="54" t="n"/>
      <c r="G127" s="54" t="n"/>
      <c r="H127" s="54" t="n"/>
      <c r="I127" s="54" t="n"/>
      <c r="J127" s="54" t="n"/>
      <c r="K127" s="54" t="n"/>
      <c r="L127" s="54" t="n"/>
      <c r="M127" s="54" t="n"/>
    </row>
    <row r="128" ht="15.75" customHeight="1" s="51">
      <c r="A128" s="102" t="n"/>
      <c r="B128" s="102" t="n"/>
      <c r="C128" s="94" t="n"/>
      <c r="D128" s="54" t="n"/>
      <c r="E128" s="54" t="n"/>
      <c r="F128" s="54" t="n"/>
      <c r="G128" s="54" t="n"/>
      <c r="H128" s="54" t="n"/>
      <c r="I128" s="54" t="n"/>
      <c r="J128" s="54" t="n"/>
      <c r="K128" s="54" t="n"/>
      <c r="L128" s="54" t="n"/>
      <c r="M128" s="54" t="n"/>
    </row>
    <row r="129" ht="15.75" customHeight="1" s="51">
      <c r="A129" s="102" t="n"/>
      <c r="B129" s="102" t="n"/>
      <c r="C129" s="94" t="n"/>
      <c r="D129" s="54" t="n"/>
      <c r="E129" s="54" t="n"/>
      <c r="F129" s="54" t="n"/>
      <c r="G129" s="54" t="n"/>
      <c r="H129" s="54" t="n"/>
      <c r="I129" s="54" t="n"/>
      <c r="J129" s="54" t="n"/>
      <c r="K129" s="54" t="n"/>
      <c r="L129" s="54" t="n"/>
      <c r="M129" s="54" t="n"/>
    </row>
    <row r="130" ht="15.75" customHeight="1" s="51">
      <c r="A130" s="102" t="n"/>
      <c r="B130" s="102" t="n"/>
      <c r="C130" s="94" t="n"/>
      <c r="D130" s="54" t="n"/>
      <c r="E130" s="54" t="n"/>
      <c r="F130" s="54" t="n"/>
      <c r="G130" s="54" t="n"/>
      <c r="H130" s="54" t="n"/>
      <c r="I130" s="54" t="n"/>
      <c r="J130" s="54" t="n"/>
      <c r="K130" s="54" t="n"/>
      <c r="L130" s="54" t="n"/>
      <c r="M130" s="54" t="n"/>
    </row>
    <row r="131" ht="15.75" customHeight="1" s="51">
      <c r="A131" s="102" t="n"/>
      <c r="B131" s="102" t="n"/>
      <c r="C131" s="94" t="n"/>
      <c r="D131" s="54" t="n"/>
      <c r="E131" s="54" t="n"/>
      <c r="F131" s="54" t="n"/>
      <c r="G131" s="54" t="n"/>
      <c r="H131" s="54" t="n"/>
      <c r="I131" s="54" t="n"/>
      <c r="J131" s="54" t="n"/>
      <c r="K131" s="54" t="n"/>
      <c r="L131" s="54" t="n"/>
      <c r="M131" s="54" t="n"/>
    </row>
    <row r="132" ht="15.75" customHeight="1" s="51">
      <c r="A132" s="102" t="n"/>
      <c r="B132" s="102" t="n"/>
      <c r="C132" s="94" t="n"/>
      <c r="D132" s="54" t="n"/>
      <c r="E132" s="54" t="n"/>
      <c r="F132" s="54" t="n"/>
      <c r="G132" s="54" t="n"/>
      <c r="H132" s="54" t="n"/>
      <c r="I132" s="54" t="n"/>
      <c r="J132" s="54" t="n"/>
      <c r="K132" s="54" t="n"/>
      <c r="L132" s="54" t="n"/>
      <c r="M132" s="54" t="n"/>
    </row>
    <row r="133" ht="15.75" customHeight="1" s="51">
      <c r="A133" s="102" t="n"/>
      <c r="B133" s="102" t="n"/>
      <c r="C133" s="94" t="n"/>
      <c r="D133" s="54" t="n"/>
      <c r="E133" s="54" t="n"/>
      <c r="F133" s="54" t="n"/>
      <c r="G133" s="54" t="n"/>
      <c r="H133" s="54" t="n"/>
      <c r="I133" s="54" t="n"/>
      <c r="J133" s="54" t="n"/>
      <c r="K133" s="54" t="n"/>
      <c r="L133" s="54" t="n"/>
      <c r="M133" s="54" t="n"/>
    </row>
    <row r="134" ht="15.75" customHeight="1" s="51">
      <c r="A134" s="102" t="n"/>
      <c r="B134" s="102" t="n"/>
      <c r="C134" s="94" t="n"/>
      <c r="D134" s="54" t="n"/>
      <c r="E134" s="54" t="n"/>
      <c r="F134" s="54" t="n"/>
      <c r="G134" s="54" t="n"/>
      <c r="H134" s="54" t="n"/>
      <c r="I134" s="54" t="n"/>
      <c r="J134" s="54" t="n"/>
      <c r="K134" s="54" t="n"/>
      <c r="L134" s="54" t="n"/>
      <c r="M134" s="54" t="n"/>
    </row>
    <row r="135" ht="15.75" customHeight="1" s="51">
      <c r="A135" s="102" t="n"/>
      <c r="B135" s="102" t="n"/>
      <c r="C135" s="94" t="n"/>
      <c r="D135" s="54" t="n"/>
      <c r="E135" s="54" t="n"/>
      <c r="F135" s="54" t="n"/>
      <c r="G135" s="54" t="n"/>
      <c r="H135" s="54" t="n"/>
      <c r="I135" s="54" t="n"/>
      <c r="J135" s="54" t="n"/>
      <c r="K135" s="54" t="n"/>
      <c r="L135" s="54" t="n"/>
      <c r="M135" s="54" t="n"/>
    </row>
    <row r="136" ht="15.75" customHeight="1" s="51">
      <c r="A136" s="102" t="n"/>
      <c r="B136" s="102" t="n"/>
      <c r="C136" s="94" t="n"/>
      <c r="D136" s="54" t="n"/>
      <c r="E136" s="54" t="n"/>
      <c r="F136" s="54" t="n"/>
      <c r="G136" s="54" t="n"/>
      <c r="H136" s="54" t="n"/>
      <c r="I136" s="54" t="n"/>
      <c r="J136" s="54" t="n"/>
      <c r="K136" s="54" t="n"/>
      <c r="L136" s="54" t="n"/>
      <c r="M136" s="54" t="n"/>
    </row>
    <row r="137" ht="15.75" customHeight="1" s="51">
      <c r="A137" s="102" t="n"/>
      <c r="B137" s="102" t="n"/>
      <c r="C137" s="94" t="n"/>
      <c r="D137" s="54" t="n"/>
      <c r="E137" s="54" t="n"/>
      <c r="F137" s="54" t="n"/>
      <c r="G137" s="54" t="n"/>
      <c r="H137" s="54" t="n"/>
      <c r="I137" s="54" t="n"/>
      <c r="J137" s="54" t="n"/>
      <c r="K137" s="54" t="n"/>
      <c r="L137" s="54" t="n"/>
      <c r="M137" s="54" t="n"/>
    </row>
    <row r="138" ht="15.75" customHeight="1" s="51">
      <c r="A138" s="102" t="n"/>
      <c r="B138" s="102" t="n"/>
      <c r="C138" s="94" t="n"/>
      <c r="D138" s="54" t="n"/>
      <c r="E138" s="54" t="n"/>
      <c r="F138" s="54" t="n"/>
      <c r="G138" s="54" t="n"/>
      <c r="H138" s="54" t="n"/>
      <c r="I138" s="54" t="n"/>
      <c r="J138" s="54" t="n"/>
      <c r="K138" s="54" t="n"/>
      <c r="L138" s="54" t="n"/>
      <c r="M138" s="54" t="n"/>
    </row>
    <row r="139" ht="15.75" customHeight="1" s="51">
      <c r="A139" s="102" t="n"/>
      <c r="B139" s="102" t="n"/>
      <c r="C139" s="94" t="n"/>
      <c r="D139" s="54" t="n"/>
      <c r="E139" s="54" t="n"/>
      <c r="F139" s="54" t="n"/>
      <c r="G139" s="54" t="n"/>
      <c r="H139" s="54" t="n"/>
      <c r="I139" s="54" t="n"/>
      <c r="J139" s="54" t="n"/>
      <c r="K139" s="54" t="n"/>
      <c r="L139" s="54" t="n"/>
      <c r="M139" s="54" t="n"/>
    </row>
    <row r="140" ht="15.75" customHeight="1" s="51">
      <c r="A140" s="102" t="n"/>
      <c r="B140" s="102" t="n"/>
      <c r="C140" s="94" t="n"/>
      <c r="D140" s="54" t="n"/>
      <c r="E140" s="54" t="n"/>
      <c r="F140" s="54" t="n"/>
      <c r="G140" s="54" t="n"/>
      <c r="H140" s="54" t="n"/>
      <c r="I140" s="54" t="n"/>
      <c r="J140" s="54" t="n"/>
      <c r="K140" s="54" t="n"/>
      <c r="L140" s="54" t="n"/>
      <c r="M140" s="54" t="n"/>
    </row>
    <row r="141" ht="15.75" customHeight="1" s="51">
      <c r="A141" s="102" t="n"/>
      <c r="B141" s="102" t="n"/>
      <c r="C141" s="94" t="n"/>
      <c r="D141" s="54" t="n"/>
      <c r="E141" s="54" t="n"/>
      <c r="F141" s="54" t="n"/>
      <c r="G141" s="54" t="n"/>
      <c r="H141" s="54" t="n"/>
      <c r="I141" s="54" t="n"/>
      <c r="J141" s="54" t="n"/>
      <c r="K141" s="54" t="n"/>
      <c r="L141" s="54" t="n"/>
      <c r="M141" s="54" t="n"/>
    </row>
    <row r="142" ht="15.75" customHeight="1" s="51">
      <c r="A142" s="102" t="n"/>
      <c r="B142" s="102" t="n"/>
      <c r="C142" s="94" t="n"/>
      <c r="D142" s="54" t="n"/>
      <c r="E142" s="54" t="n"/>
      <c r="F142" s="54" t="n"/>
      <c r="G142" s="54" t="n"/>
      <c r="H142" s="54" t="n"/>
      <c r="I142" s="54" t="n"/>
      <c r="J142" s="54" t="n"/>
      <c r="K142" s="54" t="n"/>
      <c r="L142" s="54" t="n"/>
      <c r="M142" s="54" t="n"/>
    </row>
    <row r="143" ht="15.75" customHeight="1" s="51">
      <c r="A143" s="102" t="n"/>
      <c r="B143" s="102" t="n"/>
      <c r="C143" s="94" t="n"/>
      <c r="D143" s="54" t="n"/>
      <c r="E143" s="54" t="n"/>
      <c r="F143" s="54" t="n"/>
      <c r="G143" s="54" t="n"/>
      <c r="H143" s="54" t="n"/>
      <c r="I143" s="54" t="n"/>
      <c r="J143" s="54" t="n"/>
      <c r="K143" s="54" t="n"/>
      <c r="L143" s="54" t="n"/>
      <c r="M143" s="54" t="n"/>
    </row>
    <row r="144" ht="15.75" customHeight="1" s="51">
      <c r="A144" s="102" t="n"/>
      <c r="B144" s="102" t="n"/>
      <c r="C144" s="94" t="n"/>
      <c r="D144" s="54" t="n"/>
      <c r="E144" s="54" t="n"/>
      <c r="F144" s="54" t="n"/>
      <c r="G144" s="54" t="n"/>
      <c r="H144" s="54" t="n"/>
      <c r="I144" s="54" t="n"/>
      <c r="J144" s="54" t="n"/>
      <c r="K144" s="54" t="n"/>
      <c r="L144" s="54" t="n"/>
      <c r="M144" s="54" t="n"/>
    </row>
    <row r="145" ht="15.75" customHeight="1" s="51">
      <c r="A145" s="102" t="n"/>
      <c r="B145" s="102" t="n"/>
      <c r="C145" s="94" t="n"/>
      <c r="D145" s="54" t="n"/>
      <c r="E145" s="54" t="n"/>
      <c r="F145" s="54" t="n"/>
      <c r="G145" s="54" t="n"/>
      <c r="H145" s="54" t="n"/>
      <c r="I145" s="54" t="n"/>
      <c r="J145" s="54" t="n"/>
      <c r="K145" s="54" t="n"/>
      <c r="L145" s="54" t="n"/>
      <c r="M145" s="54" t="n"/>
    </row>
    <row r="146" ht="15.75" customHeight="1" s="51">
      <c r="A146" s="102" t="n"/>
      <c r="B146" s="102" t="n"/>
      <c r="C146" s="94" t="n"/>
      <c r="D146" s="54" t="n"/>
      <c r="E146" s="54" t="n"/>
      <c r="F146" s="54" t="n"/>
      <c r="G146" s="54" t="n"/>
      <c r="H146" s="54" t="n"/>
      <c r="I146" s="54" t="n"/>
      <c r="J146" s="54" t="n"/>
      <c r="K146" s="54" t="n"/>
      <c r="L146" s="54" t="n"/>
      <c r="M146" s="54" t="n"/>
    </row>
    <row r="147" ht="15.75" customHeight="1" s="51">
      <c r="A147" s="102" t="n"/>
      <c r="B147" s="102" t="n"/>
      <c r="C147" s="94" t="n"/>
      <c r="D147" s="54" t="n"/>
      <c r="E147" s="54" t="n"/>
      <c r="F147" s="54" t="n"/>
      <c r="G147" s="54" t="n"/>
      <c r="H147" s="54" t="n"/>
      <c r="I147" s="54" t="n"/>
      <c r="J147" s="54" t="n"/>
      <c r="K147" s="54" t="n"/>
      <c r="L147" s="54" t="n"/>
      <c r="M147" s="54" t="n"/>
    </row>
    <row r="148" ht="15.75" customHeight="1" s="51">
      <c r="A148" s="102" t="n"/>
      <c r="B148" s="102" t="n"/>
      <c r="C148" s="94" t="n"/>
      <c r="D148" s="54" t="n"/>
      <c r="E148" s="54" t="n"/>
      <c r="F148" s="54" t="n"/>
      <c r="G148" s="54" t="n"/>
      <c r="H148" s="54" t="n"/>
      <c r="I148" s="54" t="n"/>
      <c r="J148" s="54" t="n"/>
      <c r="K148" s="54" t="n"/>
      <c r="L148" s="54" t="n"/>
      <c r="M148" s="54" t="n"/>
    </row>
    <row r="149" ht="15.75" customHeight="1" s="51">
      <c r="A149" s="102" t="n"/>
      <c r="B149" s="102" t="n"/>
      <c r="C149" s="94" t="n"/>
      <c r="D149" s="54" t="n"/>
      <c r="E149" s="54" t="n"/>
      <c r="F149" s="54" t="n"/>
      <c r="G149" s="54" t="n"/>
      <c r="H149" s="54" t="n"/>
      <c r="I149" s="54" t="n"/>
      <c r="J149" s="54" t="n"/>
      <c r="K149" s="54" t="n"/>
      <c r="L149" s="54" t="n"/>
      <c r="M149" s="54" t="n"/>
    </row>
    <row r="150" ht="15.75" customHeight="1" s="51">
      <c r="A150" s="102" t="n"/>
      <c r="B150" s="102" t="n"/>
      <c r="C150" s="94" t="n"/>
      <c r="D150" s="54" t="n"/>
      <c r="E150" s="54" t="n"/>
      <c r="F150" s="54" t="n"/>
      <c r="G150" s="54" t="n"/>
      <c r="H150" s="54" t="n"/>
      <c r="I150" s="54" t="n"/>
      <c r="J150" s="54" t="n"/>
      <c r="K150" s="54" t="n"/>
      <c r="L150" s="54" t="n"/>
      <c r="M150" s="54" t="n"/>
    </row>
    <row r="151" ht="15.75" customHeight="1" s="51">
      <c r="A151" s="102" t="n"/>
      <c r="B151" s="102" t="n"/>
      <c r="C151" s="94" t="n"/>
      <c r="D151" s="54" t="n"/>
      <c r="E151" s="54" t="n"/>
      <c r="F151" s="54" t="n"/>
      <c r="G151" s="54" t="n"/>
      <c r="H151" s="54" t="n"/>
      <c r="I151" s="54" t="n"/>
      <c r="J151" s="54" t="n"/>
      <c r="K151" s="54" t="n"/>
      <c r="L151" s="54" t="n"/>
      <c r="M151" s="54" t="n"/>
    </row>
    <row r="152" ht="15.75" customHeight="1" s="51">
      <c r="A152" s="102" t="n"/>
      <c r="B152" s="102" t="n"/>
      <c r="C152" s="94" t="n"/>
      <c r="D152" s="54" t="n"/>
      <c r="E152" s="54" t="n"/>
      <c r="F152" s="54" t="n"/>
      <c r="G152" s="54" t="n"/>
      <c r="H152" s="54" t="n"/>
      <c r="I152" s="54" t="n"/>
      <c r="J152" s="54" t="n"/>
      <c r="K152" s="54" t="n"/>
      <c r="L152" s="54" t="n"/>
      <c r="M152" s="54" t="n"/>
    </row>
    <row r="153" ht="15.75" customHeight="1" s="51">
      <c r="A153" s="102" t="n"/>
      <c r="B153" s="102" t="n"/>
      <c r="C153" s="94" t="n"/>
      <c r="D153" s="54" t="n"/>
      <c r="E153" s="54" t="n"/>
      <c r="F153" s="54" t="n"/>
      <c r="G153" s="54" t="n"/>
      <c r="H153" s="54" t="n"/>
      <c r="I153" s="54" t="n"/>
      <c r="J153" s="54" t="n"/>
      <c r="K153" s="54" t="n"/>
      <c r="L153" s="54" t="n"/>
      <c r="M153" s="54" t="n"/>
    </row>
    <row r="154" ht="15.75" customHeight="1" s="51">
      <c r="A154" s="102" t="n"/>
      <c r="B154" s="102" t="n"/>
      <c r="C154" s="94" t="n"/>
      <c r="D154" s="54" t="n"/>
      <c r="E154" s="54" t="n"/>
      <c r="F154" s="54" t="n"/>
      <c r="G154" s="54" t="n"/>
      <c r="H154" s="54" t="n"/>
      <c r="I154" s="54" t="n"/>
      <c r="J154" s="54" t="n"/>
      <c r="K154" s="54" t="n"/>
      <c r="L154" s="54" t="n"/>
      <c r="M154" s="54" t="n"/>
    </row>
    <row r="155" ht="15.75" customHeight="1" s="51">
      <c r="A155" s="102" t="n"/>
      <c r="B155" s="102" t="n"/>
      <c r="C155" s="94" t="n"/>
      <c r="D155" s="54" t="n"/>
      <c r="E155" s="54" t="n"/>
      <c r="F155" s="54" t="n"/>
      <c r="G155" s="54" t="n"/>
      <c r="H155" s="54" t="n"/>
      <c r="I155" s="54" t="n"/>
      <c r="J155" s="54" t="n"/>
      <c r="K155" s="54" t="n"/>
      <c r="L155" s="54" t="n"/>
      <c r="M155" s="54" t="n"/>
    </row>
    <row r="156" ht="15.75" customHeight="1" s="51">
      <c r="A156" s="102" t="n"/>
      <c r="B156" s="102" t="n"/>
      <c r="C156" s="94" t="n"/>
      <c r="D156" s="54" t="n"/>
      <c r="E156" s="54" t="n"/>
      <c r="F156" s="54" t="n"/>
      <c r="G156" s="54" t="n"/>
      <c r="H156" s="54" t="n"/>
      <c r="I156" s="54" t="n"/>
      <c r="J156" s="54" t="n"/>
      <c r="K156" s="54" t="n"/>
      <c r="L156" s="54" t="n"/>
      <c r="M156" s="54" t="n"/>
    </row>
    <row r="157" ht="15.75" customHeight="1" s="51">
      <c r="A157" s="102" t="n"/>
      <c r="B157" s="102" t="n"/>
      <c r="C157" s="94" t="n"/>
      <c r="D157" s="54" t="n"/>
      <c r="E157" s="54" t="n"/>
      <c r="F157" s="54" t="n"/>
      <c r="G157" s="54" t="n"/>
      <c r="H157" s="54" t="n"/>
      <c r="I157" s="54" t="n"/>
      <c r="J157" s="54" t="n"/>
      <c r="K157" s="54" t="n"/>
      <c r="L157" s="54" t="n"/>
      <c r="M157" s="54" t="n"/>
    </row>
    <row r="158" ht="15.75" customHeight="1" s="51">
      <c r="A158" s="102" t="n"/>
      <c r="B158" s="102" t="n"/>
      <c r="C158" s="94" t="n"/>
      <c r="D158" s="54" t="n"/>
      <c r="E158" s="54" t="n"/>
      <c r="F158" s="54" t="n"/>
      <c r="G158" s="54" t="n"/>
      <c r="H158" s="54" t="n"/>
      <c r="I158" s="54" t="n"/>
      <c r="J158" s="54" t="n"/>
      <c r="K158" s="54" t="n"/>
      <c r="L158" s="54" t="n"/>
      <c r="M158" s="54" t="n"/>
    </row>
    <row r="159" ht="15.75" customHeight="1" s="51">
      <c r="A159" s="102" t="n"/>
      <c r="B159" s="102" t="n"/>
      <c r="C159" s="94" t="n"/>
      <c r="D159" s="54" t="n"/>
      <c r="E159" s="54" t="n"/>
      <c r="F159" s="54" t="n"/>
      <c r="G159" s="54" t="n"/>
      <c r="H159" s="54" t="n"/>
      <c r="I159" s="54" t="n"/>
      <c r="J159" s="54" t="n"/>
      <c r="K159" s="54" t="n"/>
      <c r="L159" s="54" t="n"/>
      <c r="M159" s="54" t="n"/>
    </row>
    <row r="160" ht="15.75" customHeight="1" s="51">
      <c r="A160" s="102" t="n"/>
      <c r="B160" s="102" t="n"/>
      <c r="C160" s="94" t="n"/>
      <c r="D160" s="54" t="n"/>
      <c r="E160" s="54" t="n"/>
      <c r="F160" s="54" t="n"/>
      <c r="G160" s="54" t="n"/>
      <c r="H160" s="54" t="n"/>
      <c r="I160" s="54" t="n"/>
      <c r="J160" s="54" t="n"/>
      <c r="K160" s="54" t="n"/>
      <c r="L160" s="54" t="n"/>
      <c r="M160" s="54" t="n"/>
    </row>
    <row r="161" ht="15.75" customHeight="1" s="51">
      <c r="A161" s="102" t="n"/>
      <c r="B161" s="102" t="n"/>
      <c r="C161" s="94" t="n"/>
      <c r="D161" s="54" t="n"/>
      <c r="E161" s="54" t="n"/>
      <c r="F161" s="54" t="n"/>
      <c r="G161" s="54" t="n"/>
      <c r="H161" s="54" t="n"/>
      <c r="I161" s="54" t="n"/>
      <c r="J161" s="54" t="n"/>
      <c r="K161" s="54" t="n"/>
      <c r="L161" s="54" t="n"/>
      <c r="M161" s="54" t="n"/>
    </row>
    <row r="162" ht="15.75" customHeight="1" s="51">
      <c r="A162" s="102" t="n"/>
      <c r="B162" s="102" t="n"/>
      <c r="C162" s="94" t="n"/>
      <c r="D162" s="54" t="n"/>
      <c r="E162" s="54" t="n"/>
      <c r="F162" s="54" t="n"/>
      <c r="G162" s="54" t="n"/>
      <c r="H162" s="54" t="n"/>
      <c r="I162" s="54" t="n"/>
      <c r="J162" s="54" t="n"/>
      <c r="K162" s="54" t="n"/>
      <c r="L162" s="54" t="n"/>
      <c r="M162" s="54" t="n"/>
    </row>
    <row r="163" ht="15.75" customHeight="1" s="51">
      <c r="A163" s="102" t="n"/>
      <c r="B163" s="102" t="n"/>
      <c r="C163" s="94" t="n"/>
      <c r="D163" s="54" t="n"/>
      <c r="E163" s="54" t="n"/>
      <c r="F163" s="54" t="n"/>
      <c r="G163" s="54" t="n"/>
      <c r="H163" s="54" t="n"/>
      <c r="I163" s="54" t="n"/>
      <c r="J163" s="54" t="n"/>
      <c r="K163" s="54" t="n"/>
      <c r="L163" s="54" t="n"/>
      <c r="M163" s="54" t="n"/>
    </row>
    <row r="164" ht="15.75" customHeight="1" s="51">
      <c r="A164" s="102" t="n"/>
      <c r="B164" s="102" t="n"/>
      <c r="C164" s="94" t="n"/>
      <c r="D164" s="54" t="n"/>
      <c r="E164" s="54" t="n"/>
      <c r="F164" s="54" t="n"/>
      <c r="G164" s="54" t="n"/>
      <c r="H164" s="54" t="n"/>
      <c r="I164" s="54" t="n"/>
      <c r="J164" s="54" t="n"/>
      <c r="K164" s="54" t="n"/>
      <c r="L164" s="54" t="n"/>
      <c r="M164" s="54" t="n"/>
    </row>
    <row r="165" ht="15.75" customHeight="1" s="51">
      <c r="A165" s="102" t="n"/>
      <c r="B165" s="102" t="n"/>
      <c r="C165" s="94" t="n"/>
      <c r="D165" s="54" t="n"/>
      <c r="E165" s="54" t="n"/>
      <c r="F165" s="54" t="n"/>
      <c r="G165" s="54" t="n"/>
      <c r="H165" s="54" t="n"/>
      <c r="I165" s="54" t="n"/>
      <c r="J165" s="54" t="n"/>
      <c r="K165" s="54" t="n"/>
      <c r="L165" s="54" t="n"/>
      <c r="M165" s="54" t="n"/>
    </row>
    <row r="166" ht="15.75" customHeight="1" s="51">
      <c r="A166" s="102" t="n"/>
      <c r="B166" s="102" t="n"/>
      <c r="C166" s="94" t="n"/>
      <c r="D166" s="54" t="n"/>
      <c r="E166" s="54" t="n"/>
      <c r="F166" s="54" t="n"/>
      <c r="G166" s="54" t="n"/>
      <c r="H166" s="54" t="n"/>
      <c r="I166" s="54" t="n"/>
      <c r="J166" s="54" t="n"/>
      <c r="K166" s="54" t="n"/>
      <c r="L166" s="54" t="n"/>
      <c r="M166" s="54" t="n"/>
    </row>
    <row r="167" ht="15.75" customHeight="1" s="51">
      <c r="A167" s="102" t="n"/>
      <c r="B167" s="102" t="n"/>
      <c r="C167" s="94" t="n"/>
      <c r="D167" s="54" t="n"/>
      <c r="E167" s="54" t="n"/>
      <c r="F167" s="54" t="n"/>
      <c r="G167" s="54" t="n"/>
      <c r="H167" s="54" t="n"/>
      <c r="I167" s="54" t="n"/>
      <c r="J167" s="54" t="n"/>
      <c r="K167" s="54" t="n"/>
      <c r="L167" s="54" t="n"/>
      <c r="M167" s="54" t="n"/>
    </row>
    <row r="168" ht="15.75" customHeight="1" s="51">
      <c r="A168" s="102" t="n"/>
      <c r="B168" s="102" t="n"/>
      <c r="C168" s="94" t="n"/>
      <c r="D168" s="54" t="n"/>
      <c r="E168" s="54" t="n"/>
      <c r="F168" s="54" t="n"/>
      <c r="G168" s="54" t="n"/>
      <c r="H168" s="54" t="n"/>
      <c r="I168" s="54" t="n"/>
      <c r="J168" s="54" t="n"/>
      <c r="K168" s="54" t="n"/>
      <c r="L168" s="54" t="n"/>
      <c r="M168" s="54" t="n"/>
    </row>
    <row r="169" ht="15.75" customHeight="1" s="51">
      <c r="A169" s="102" t="n"/>
      <c r="B169" s="102" t="n"/>
      <c r="C169" s="94" t="n"/>
      <c r="D169" s="54" t="n"/>
      <c r="E169" s="54" t="n"/>
      <c r="F169" s="54" t="n"/>
      <c r="G169" s="54" t="n"/>
      <c r="H169" s="54" t="n"/>
      <c r="I169" s="54" t="n"/>
      <c r="J169" s="54" t="n"/>
      <c r="K169" s="54" t="n"/>
      <c r="L169" s="54" t="n"/>
      <c r="M169" s="54" t="n"/>
    </row>
    <row r="170" ht="15.75" customHeight="1" s="51">
      <c r="A170" s="102" t="n"/>
      <c r="B170" s="102" t="n"/>
      <c r="C170" s="94" t="n"/>
      <c r="D170" s="54" t="n"/>
      <c r="E170" s="54" t="n"/>
      <c r="F170" s="54" t="n"/>
      <c r="G170" s="54" t="n"/>
      <c r="H170" s="54" t="n"/>
      <c r="I170" s="54" t="n"/>
      <c r="J170" s="54" t="n"/>
      <c r="K170" s="54" t="n"/>
      <c r="L170" s="54" t="n"/>
      <c r="M170" s="54" t="n"/>
    </row>
    <row r="171" ht="15.75" customHeight="1" s="51">
      <c r="A171" s="102" t="n"/>
      <c r="B171" s="102" t="n"/>
      <c r="C171" s="94" t="n"/>
      <c r="D171" s="54" t="n"/>
      <c r="E171" s="54" t="n"/>
      <c r="F171" s="54" t="n"/>
      <c r="G171" s="54" t="n"/>
      <c r="H171" s="54" t="n"/>
      <c r="I171" s="54" t="n"/>
      <c r="J171" s="54" t="n"/>
      <c r="K171" s="54" t="n"/>
      <c r="L171" s="54" t="n"/>
      <c r="M171" s="54" t="n"/>
    </row>
    <row r="172" ht="15.75" customHeight="1" s="51">
      <c r="A172" s="102" t="n"/>
      <c r="B172" s="102" t="n"/>
      <c r="C172" s="94" t="n"/>
      <c r="D172" s="54" t="n"/>
      <c r="E172" s="54" t="n"/>
      <c r="F172" s="54" t="n"/>
      <c r="G172" s="54" t="n"/>
      <c r="H172" s="54" t="n"/>
      <c r="I172" s="54" t="n"/>
      <c r="J172" s="54" t="n"/>
      <c r="K172" s="54" t="n"/>
      <c r="L172" s="54" t="n"/>
      <c r="M172" s="54" t="n"/>
    </row>
    <row r="173" ht="15.75" customHeight="1" s="51">
      <c r="A173" s="102" t="n"/>
      <c r="B173" s="102" t="n"/>
      <c r="C173" s="94" t="n"/>
      <c r="D173" s="54" t="n"/>
      <c r="E173" s="54" t="n"/>
      <c r="F173" s="54" t="n"/>
      <c r="G173" s="54" t="n"/>
      <c r="H173" s="54" t="n"/>
      <c r="I173" s="54" t="n"/>
      <c r="J173" s="54" t="n"/>
      <c r="K173" s="54" t="n"/>
      <c r="L173" s="54" t="n"/>
      <c r="M173" s="54" t="n"/>
    </row>
    <row r="174" ht="15.75" customHeight="1" s="51">
      <c r="A174" s="102" t="n"/>
      <c r="B174" s="102" t="n"/>
      <c r="C174" s="94" t="n"/>
      <c r="D174" s="54" t="n"/>
      <c r="E174" s="54" t="n"/>
      <c r="F174" s="54" t="n"/>
      <c r="G174" s="54" t="n"/>
      <c r="H174" s="54" t="n"/>
      <c r="I174" s="54" t="n"/>
      <c r="J174" s="54" t="n"/>
      <c r="K174" s="54" t="n"/>
      <c r="L174" s="54" t="n"/>
      <c r="M174" s="54" t="n"/>
    </row>
    <row r="175" ht="15.75" customHeight="1" s="51">
      <c r="A175" s="102" t="n"/>
      <c r="B175" s="102" t="n"/>
      <c r="C175" s="94" t="n"/>
      <c r="D175" s="54" t="n"/>
      <c r="E175" s="54" t="n"/>
      <c r="F175" s="54" t="n"/>
      <c r="G175" s="54" t="n"/>
      <c r="H175" s="54" t="n"/>
      <c r="I175" s="54" t="n"/>
      <c r="J175" s="54" t="n"/>
      <c r="K175" s="54" t="n"/>
      <c r="L175" s="54" t="n"/>
      <c r="M175" s="54" t="n"/>
    </row>
    <row r="176" ht="15.75" customHeight="1" s="51">
      <c r="A176" s="102" t="n"/>
      <c r="B176" s="102" t="n"/>
      <c r="C176" s="94" t="n"/>
      <c r="D176" s="54" t="n"/>
      <c r="E176" s="54" t="n"/>
      <c r="F176" s="54" t="n"/>
      <c r="G176" s="54" t="n"/>
      <c r="H176" s="54" t="n"/>
      <c r="I176" s="54" t="n"/>
      <c r="J176" s="54" t="n"/>
      <c r="K176" s="54" t="n"/>
      <c r="L176" s="54" t="n"/>
      <c r="M176" s="54" t="n"/>
    </row>
    <row r="177" ht="15.75" customHeight="1" s="51">
      <c r="A177" s="102" t="n"/>
      <c r="B177" s="102" t="n"/>
      <c r="C177" s="94" t="n"/>
      <c r="D177" s="54" t="n"/>
      <c r="E177" s="54" t="n"/>
      <c r="F177" s="54" t="n"/>
      <c r="G177" s="54" t="n"/>
      <c r="H177" s="54" t="n"/>
      <c r="I177" s="54" t="n"/>
      <c r="J177" s="54" t="n"/>
      <c r="K177" s="54" t="n"/>
      <c r="L177" s="54" t="n"/>
      <c r="M177" s="54" t="n"/>
    </row>
    <row r="178" ht="15.75" customHeight="1" s="51">
      <c r="A178" s="102" t="n"/>
      <c r="B178" s="102" t="n"/>
      <c r="C178" s="94" t="n"/>
      <c r="D178" s="54" t="n"/>
      <c r="E178" s="54" t="n"/>
      <c r="F178" s="54" t="n"/>
      <c r="G178" s="54" t="n"/>
      <c r="H178" s="54" t="n"/>
      <c r="I178" s="54" t="n"/>
      <c r="J178" s="54" t="n"/>
      <c r="K178" s="54" t="n"/>
      <c r="L178" s="54" t="n"/>
      <c r="M178" s="54" t="n"/>
    </row>
    <row r="179" ht="15.75" customHeight="1" s="51">
      <c r="A179" s="102" t="n"/>
      <c r="B179" s="102" t="n"/>
      <c r="C179" s="94" t="n"/>
      <c r="D179" s="54" t="n"/>
      <c r="E179" s="54" t="n"/>
      <c r="F179" s="54" t="n"/>
      <c r="G179" s="54" t="n"/>
      <c r="H179" s="54" t="n"/>
      <c r="I179" s="54" t="n"/>
      <c r="J179" s="54" t="n"/>
      <c r="K179" s="54" t="n"/>
      <c r="L179" s="54" t="n"/>
      <c r="M179" s="54" t="n"/>
    </row>
    <row r="180" ht="15.75" customHeight="1" s="51">
      <c r="A180" s="102" t="n"/>
      <c r="B180" s="102" t="n"/>
      <c r="C180" s="94" t="n"/>
      <c r="D180" s="54" t="n"/>
      <c r="E180" s="54" t="n"/>
      <c r="F180" s="54" t="n"/>
      <c r="G180" s="54" t="n"/>
      <c r="H180" s="54" t="n"/>
      <c r="I180" s="54" t="n"/>
      <c r="J180" s="54" t="n"/>
      <c r="K180" s="54" t="n"/>
      <c r="L180" s="54" t="n"/>
      <c r="M180" s="54" t="n"/>
    </row>
    <row r="181" ht="15.75" customHeight="1" s="51">
      <c r="A181" s="102" t="n"/>
      <c r="B181" s="102" t="n"/>
      <c r="C181" s="94" t="n"/>
      <c r="D181" s="54" t="n"/>
      <c r="E181" s="54" t="n"/>
      <c r="F181" s="54" t="n"/>
      <c r="G181" s="54" t="n"/>
      <c r="H181" s="54" t="n"/>
      <c r="I181" s="54" t="n"/>
      <c r="J181" s="54" t="n"/>
      <c r="K181" s="54" t="n"/>
      <c r="L181" s="54" t="n"/>
      <c r="M181" s="54" t="n"/>
    </row>
    <row r="182" ht="15.75" customHeight="1" s="51">
      <c r="A182" s="102" t="n"/>
      <c r="B182" s="102" t="n"/>
      <c r="C182" s="94" t="n"/>
      <c r="D182" s="54" t="n"/>
      <c r="E182" s="54" t="n"/>
      <c r="F182" s="54" t="n"/>
      <c r="G182" s="54" t="n"/>
      <c r="H182" s="54" t="n"/>
      <c r="I182" s="54" t="n"/>
      <c r="J182" s="54" t="n"/>
      <c r="K182" s="54" t="n"/>
      <c r="L182" s="54" t="n"/>
      <c r="M182" s="54" t="n"/>
    </row>
    <row r="183" ht="15.75" customHeight="1" s="51">
      <c r="A183" s="102" t="n"/>
      <c r="B183" s="102" t="n"/>
      <c r="C183" s="94" t="n"/>
      <c r="D183" s="54" t="n"/>
      <c r="E183" s="54" t="n"/>
      <c r="F183" s="54" t="n"/>
      <c r="G183" s="54" t="n"/>
      <c r="H183" s="54" t="n"/>
      <c r="I183" s="54" t="n"/>
      <c r="J183" s="54" t="n"/>
      <c r="K183" s="54" t="n"/>
      <c r="L183" s="54" t="n"/>
      <c r="M183" s="54" t="n"/>
    </row>
    <row r="184" ht="15.75" customHeight="1" s="51">
      <c r="A184" s="102" t="n"/>
      <c r="B184" s="102" t="n"/>
      <c r="C184" s="94" t="n"/>
      <c r="D184" s="54" t="n"/>
      <c r="E184" s="54" t="n"/>
      <c r="F184" s="54" t="n"/>
      <c r="G184" s="54" t="n"/>
      <c r="H184" s="54" t="n"/>
      <c r="I184" s="54" t="n"/>
      <c r="J184" s="54" t="n"/>
      <c r="K184" s="54" t="n"/>
      <c r="L184" s="54" t="n"/>
      <c r="M184" s="54" t="n"/>
    </row>
    <row r="185" ht="15.75" customHeight="1" s="51">
      <c r="A185" s="102" t="n"/>
      <c r="B185" s="102" t="n"/>
      <c r="C185" s="94" t="n"/>
      <c r="D185" s="54" t="n"/>
      <c r="E185" s="54" t="n"/>
      <c r="F185" s="54" t="n"/>
      <c r="G185" s="54" t="n"/>
      <c r="H185" s="54" t="n"/>
      <c r="I185" s="54" t="n"/>
      <c r="J185" s="54" t="n"/>
      <c r="K185" s="54" t="n"/>
      <c r="L185" s="54" t="n"/>
      <c r="M185" s="54" t="n"/>
    </row>
    <row r="186" ht="15.75" customHeight="1" s="51">
      <c r="A186" s="102" t="n"/>
      <c r="B186" s="102" t="n"/>
      <c r="C186" s="94" t="n"/>
      <c r="D186" s="54" t="n"/>
      <c r="E186" s="54" t="n"/>
      <c r="F186" s="54" t="n"/>
      <c r="G186" s="54" t="n"/>
      <c r="H186" s="54" t="n"/>
      <c r="I186" s="54" t="n"/>
      <c r="J186" s="54" t="n"/>
      <c r="K186" s="54" t="n"/>
      <c r="L186" s="54" t="n"/>
      <c r="M186" s="54" t="n"/>
    </row>
    <row r="187" ht="15.75" customHeight="1" s="51">
      <c r="A187" s="102" t="n"/>
      <c r="B187" s="102" t="n"/>
      <c r="C187" s="94" t="n"/>
      <c r="D187" s="54" t="n"/>
      <c r="E187" s="54" t="n"/>
      <c r="F187" s="54" t="n"/>
      <c r="G187" s="54" t="n"/>
      <c r="H187" s="54" t="n"/>
      <c r="I187" s="54" t="n"/>
      <c r="J187" s="54" t="n"/>
      <c r="K187" s="54" t="n"/>
      <c r="L187" s="54" t="n"/>
      <c r="M187" s="54" t="n"/>
    </row>
    <row r="188" ht="15.75" customHeight="1" s="51">
      <c r="A188" s="102" t="n"/>
      <c r="B188" s="102" t="n"/>
      <c r="C188" s="94" t="n"/>
      <c r="D188" s="54" t="n"/>
      <c r="E188" s="54" t="n"/>
      <c r="F188" s="54" t="n"/>
      <c r="G188" s="54" t="n"/>
      <c r="H188" s="54" t="n"/>
      <c r="I188" s="54" t="n"/>
      <c r="J188" s="54" t="n"/>
      <c r="K188" s="54" t="n"/>
      <c r="L188" s="54" t="n"/>
      <c r="M188" s="54" t="n"/>
    </row>
    <row r="189" ht="15.75" customHeight="1" s="51">
      <c r="A189" s="102" t="n"/>
      <c r="B189" s="102" t="n"/>
      <c r="C189" s="94" t="n"/>
      <c r="D189" s="54" t="n"/>
      <c r="E189" s="54" t="n"/>
      <c r="F189" s="54" t="n"/>
      <c r="G189" s="54" t="n"/>
      <c r="H189" s="54" t="n"/>
      <c r="I189" s="54" t="n"/>
      <c r="J189" s="54" t="n"/>
      <c r="K189" s="54" t="n"/>
      <c r="L189" s="54" t="n"/>
      <c r="M189" s="54" t="n"/>
    </row>
    <row r="190" ht="15.75" customHeight="1" s="51">
      <c r="A190" s="102" t="n"/>
      <c r="B190" s="102" t="n"/>
      <c r="C190" s="94" t="n"/>
      <c r="D190" s="54" t="n"/>
      <c r="E190" s="54" t="n"/>
      <c r="F190" s="54" t="n"/>
      <c r="G190" s="54" t="n"/>
      <c r="H190" s="54" t="n"/>
      <c r="I190" s="54" t="n"/>
      <c r="J190" s="54" t="n"/>
      <c r="K190" s="54" t="n"/>
      <c r="L190" s="54" t="n"/>
      <c r="M190" s="54" t="n"/>
    </row>
    <row r="191" ht="15.75" customHeight="1" s="51">
      <c r="A191" s="102" t="n"/>
      <c r="B191" s="102" t="n"/>
      <c r="C191" s="94" t="n"/>
      <c r="D191" s="54" t="n"/>
      <c r="E191" s="54" t="n"/>
      <c r="F191" s="54" t="n"/>
      <c r="G191" s="54" t="n"/>
      <c r="H191" s="54" t="n"/>
      <c r="I191" s="54" t="n"/>
      <c r="J191" s="54" t="n"/>
      <c r="K191" s="54" t="n"/>
      <c r="L191" s="54" t="n"/>
      <c r="M191" s="54" t="n"/>
    </row>
    <row r="192" ht="15.75" customHeight="1" s="51">
      <c r="A192" s="102" t="n"/>
      <c r="B192" s="102" t="n"/>
      <c r="C192" s="94" t="n"/>
      <c r="D192" s="54" t="n"/>
      <c r="E192" s="54" t="n"/>
      <c r="F192" s="54" t="n"/>
      <c r="G192" s="54" t="n"/>
      <c r="H192" s="54" t="n"/>
      <c r="I192" s="54" t="n"/>
      <c r="J192" s="54" t="n"/>
      <c r="K192" s="54" t="n"/>
      <c r="L192" s="54" t="n"/>
      <c r="M192" s="54" t="n"/>
    </row>
    <row r="193" ht="15.75" customHeight="1" s="51">
      <c r="A193" s="102" t="n"/>
      <c r="B193" s="102" t="n"/>
      <c r="C193" s="94" t="n"/>
      <c r="D193" s="54" t="n"/>
      <c r="E193" s="54" t="n"/>
      <c r="F193" s="54" t="n"/>
      <c r="G193" s="54" t="n"/>
      <c r="H193" s="54" t="n"/>
      <c r="I193" s="54" t="n"/>
      <c r="J193" s="54" t="n"/>
      <c r="K193" s="54" t="n"/>
      <c r="L193" s="54" t="n"/>
      <c r="M193" s="54" t="n"/>
    </row>
    <row r="194" ht="15.75" customHeight="1" s="51">
      <c r="A194" s="102" t="n"/>
      <c r="B194" s="102" t="n"/>
      <c r="C194" s="94" t="n"/>
      <c r="D194" s="54" t="n"/>
      <c r="E194" s="54" t="n"/>
      <c r="F194" s="54" t="n"/>
      <c r="G194" s="54" t="n"/>
      <c r="H194" s="54" t="n"/>
      <c r="I194" s="54" t="n"/>
      <c r="J194" s="54" t="n"/>
      <c r="K194" s="54" t="n"/>
      <c r="L194" s="54" t="n"/>
      <c r="M194" s="54" t="n"/>
    </row>
    <row r="195" ht="15.75" customHeight="1" s="51">
      <c r="A195" s="102" t="n"/>
      <c r="B195" s="102" t="n"/>
      <c r="C195" s="94" t="n"/>
      <c r="D195" s="54" t="n"/>
      <c r="E195" s="54" t="n"/>
      <c r="F195" s="54" t="n"/>
      <c r="G195" s="54" t="n"/>
      <c r="H195" s="54" t="n"/>
      <c r="I195" s="54" t="n"/>
      <c r="J195" s="54" t="n"/>
      <c r="K195" s="54" t="n"/>
      <c r="L195" s="54" t="n"/>
      <c r="M195" s="54" t="n"/>
    </row>
    <row r="196" ht="15.75" customHeight="1" s="51">
      <c r="A196" s="102" t="n"/>
      <c r="B196" s="102" t="n"/>
      <c r="C196" s="94" t="n"/>
      <c r="D196" s="54" t="n"/>
      <c r="E196" s="54" t="n"/>
      <c r="F196" s="54" t="n"/>
      <c r="G196" s="54" t="n"/>
      <c r="H196" s="54" t="n"/>
      <c r="I196" s="54" t="n"/>
      <c r="J196" s="54" t="n"/>
      <c r="K196" s="54" t="n"/>
      <c r="L196" s="54" t="n"/>
      <c r="M196" s="54" t="n"/>
    </row>
    <row r="197" ht="15.75" customHeight="1" s="51">
      <c r="A197" s="102" t="n"/>
      <c r="B197" s="102" t="n"/>
      <c r="C197" s="94" t="n"/>
      <c r="D197" s="54" t="n"/>
      <c r="E197" s="54" t="n"/>
      <c r="F197" s="54" t="n"/>
      <c r="G197" s="54" t="n"/>
      <c r="H197" s="54" t="n"/>
      <c r="I197" s="54" t="n"/>
      <c r="J197" s="54" t="n"/>
      <c r="K197" s="54" t="n"/>
      <c r="L197" s="54" t="n"/>
      <c r="M197" s="54" t="n"/>
    </row>
    <row r="198" ht="15.75" customHeight="1" s="51">
      <c r="A198" s="102" t="n"/>
      <c r="B198" s="102" t="n"/>
      <c r="C198" s="94" t="n"/>
      <c r="D198" s="54" t="n"/>
      <c r="E198" s="54" t="n"/>
      <c r="F198" s="54" t="n"/>
      <c r="G198" s="54" t="n"/>
      <c r="H198" s="54" t="n"/>
      <c r="I198" s="54" t="n"/>
      <c r="J198" s="54" t="n"/>
      <c r="K198" s="54" t="n"/>
      <c r="L198" s="54" t="n"/>
      <c r="M198" s="54" t="n"/>
    </row>
    <row r="199" ht="15.75" customHeight="1" s="51">
      <c r="A199" s="102" t="n"/>
      <c r="B199" s="102" t="n"/>
      <c r="C199" s="94" t="n"/>
      <c r="D199" s="54" t="n"/>
      <c r="E199" s="54" t="n"/>
      <c r="F199" s="54" t="n"/>
      <c r="G199" s="54" t="n"/>
      <c r="H199" s="54" t="n"/>
      <c r="I199" s="54" t="n"/>
      <c r="J199" s="54" t="n"/>
      <c r="K199" s="54" t="n"/>
      <c r="L199" s="54" t="n"/>
      <c r="M199" s="54" t="n"/>
    </row>
    <row r="200" ht="15.75" customHeight="1" s="51">
      <c r="A200" s="102" t="n"/>
      <c r="B200" s="102" t="n"/>
      <c r="C200" s="94" t="n"/>
      <c r="D200" s="54" t="n"/>
      <c r="E200" s="54" t="n"/>
      <c r="F200" s="54" t="n"/>
      <c r="G200" s="54" t="n"/>
      <c r="H200" s="54" t="n"/>
      <c r="I200" s="54" t="n"/>
      <c r="J200" s="54" t="n"/>
      <c r="K200" s="54" t="n"/>
      <c r="L200" s="54" t="n"/>
      <c r="M200" s="54" t="n"/>
    </row>
    <row r="201" ht="15.75" customHeight="1" s="51">
      <c r="A201" s="102" t="n"/>
      <c r="B201" s="102" t="n"/>
      <c r="C201" s="94" t="n"/>
      <c r="D201" s="54" t="n"/>
      <c r="E201" s="54" t="n"/>
      <c r="F201" s="54" t="n"/>
      <c r="G201" s="54" t="n"/>
      <c r="H201" s="54" t="n"/>
      <c r="I201" s="54" t="n"/>
      <c r="J201" s="54" t="n"/>
      <c r="K201" s="54" t="n"/>
      <c r="L201" s="54" t="n"/>
      <c r="M201" s="54" t="n"/>
    </row>
    <row r="202" ht="15.75" customHeight="1" s="51">
      <c r="A202" s="102" t="n"/>
      <c r="B202" s="102" t="n"/>
      <c r="C202" s="94" t="n"/>
      <c r="D202" s="54" t="n"/>
      <c r="E202" s="54" t="n"/>
      <c r="F202" s="54" t="n"/>
      <c r="G202" s="54" t="n"/>
      <c r="H202" s="54" t="n"/>
      <c r="I202" s="54" t="n"/>
      <c r="J202" s="54" t="n"/>
      <c r="K202" s="54" t="n"/>
      <c r="L202" s="54" t="n"/>
      <c r="M202" s="54" t="n"/>
    </row>
    <row r="203" ht="15.75" customHeight="1" s="51">
      <c r="A203" s="102" t="n"/>
      <c r="B203" s="102" t="n"/>
      <c r="C203" s="94" t="n"/>
      <c r="D203" s="54" t="n"/>
      <c r="E203" s="54" t="n"/>
      <c r="F203" s="54" t="n"/>
      <c r="G203" s="54" t="n"/>
      <c r="H203" s="54" t="n"/>
      <c r="I203" s="54" t="n"/>
      <c r="J203" s="54" t="n"/>
      <c r="K203" s="54" t="n"/>
      <c r="L203" s="54" t="n"/>
      <c r="M203" s="54" t="n"/>
    </row>
    <row r="204" ht="15.75" customHeight="1" s="51">
      <c r="A204" s="102" t="n"/>
      <c r="B204" s="102" t="n"/>
      <c r="C204" s="94" t="n"/>
      <c r="D204" s="54" t="n"/>
      <c r="E204" s="54" t="n"/>
      <c r="F204" s="54" t="n"/>
      <c r="G204" s="54" t="n"/>
      <c r="H204" s="54" t="n"/>
      <c r="I204" s="54" t="n"/>
      <c r="J204" s="54" t="n"/>
      <c r="K204" s="54" t="n"/>
      <c r="L204" s="54" t="n"/>
      <c r="M204" s="54" t="n"/>
    </row>
    <row r="205" ht="15.75" customHeight="1" s="51">
      <c r="A205" s="102" t="n"/>
      <c r="B205" s="102" t="n"/>
      <c r="C205" s="94" t="n"/>
      <c r="D205" s="54" t="n"/>
      <c r="E205" s="54" t="n"/>
      <c r="F205" s="54" t="n"/>
      <c r="G205" s="54" t="n"/>
      <c r="H205" s="54" t="n"/>
      <c r="I205" s="54" t="n"/>
      <c r="J205" s="54" t="n"/>
      <c r="K205" s="54" t="n"/>
      <c r="L205" s="54" t="n"/>
      <c r="M205" s="54" t="n"/>
    </row>
    <row r="206" ht="15.75" customHeight="1" s="51">
      <c r="A206" s="102" t="n"/>
      <c r="B206" s="102" t="n"/>
      <c r="C206" s="94" t="n"/>
      <c r="D206" s="54" t="n"/>
      <c r="E206" s="54" t="n"/>
      <c r="F206" s="54" t="n"/>
      <c r="G206" s="54" t="n"/>
      <c r="H206" s="54" t="n"/>
      <c r="I206" s="54" t="n"/>
      <c r="J206" s="54" t="n"/>
      <c r="K206" s="54" t="n"/>
      <c r="L206" s="54" t="n"/>
      <c r="M206" s="54" t="n"/>
    </row>
    <row r="207" ht="15.75" customHeight="1" s="51">
      <c r="A207" s="102" t="n"/>
      <c r="B207" s="102" t="n"/>
      <c r="C207" s="94" t="n"/>
      <c r="D207" s="54" t="n"/>
      <c r="E207" s="54" t="n"/>
      <c r="F207" s="54" t="n"/>
      <c r="G207" s="54" t="n"/>
      <c r="H207" s="54" t="n"/>
      <c r="I207" s="54" t="n"/>
      <c r="J207" s="54" t="n"/>
      <c r="K207" s="54" t="n"/>
      <c r="L207" s="54" t="n"/>
      <c r="M207" s="54" t="n"/>
    </row>
    <row r="208" ht="15.75" customHeight="1" s="51">
      <c r="A208" s="102" t="n"/>
      <c r="B208" s="102" t="n"/>
      <c r="C208" s="94" t="n"/>
      <c r="D208" s="54" t="n"/>
      <c r="E208" s="54" t="n"/>
      <c r="F208" s="54" t="n"/>
      <c r="G208" s="54" t="n"/>
      <c r="H208" s="54" t="n"/>
      <c r="I208" s="54" t="n"/>
      <c r="J208" s="54" t="n"/>
      <c r="K208" s="54" t="n"/>
      <c r="L208" s="54" t="n"/>
      <c r="M208" s="54" t="n"/>
    </row>
    <row r="209" ht="15.75" customHeight="1" s="51">
      <c r="A209" s="102" t="n"/>
      <c r="B209" s="102" t="n"/>
      <c r="C209" s="94" t="n"/>
      <c r="D209" s="54" t="n"/>
      <c r="E209" s="54" t="n"/>
      <c r="F209" s="54" t="n"/>
      <c r="G209" s="54" t="n"/>
      <c r="H209" s="54" t="n"/>
      <c r="I209" s="54" t="n"/>
      <c r="J209" s="54" t="n"/>
      <c r="K209" s="54" t="n"/>
      <c r="L209" s="54" t="n"/>
      <c r="M209" s="54" t="n"/>
    </row>
    <row r="210" ht="15.75" customHeight="1" s="51">
      <c r="A210" s="102" t="n"/>
      <c r="B210" s="102" t="n"/>
      <c r="C210" s="94" t="n"/>
      <c r="D210" s="54" t="n"/>
      <c r="E210" s="54" t="n"/>
      <c r="F210" s="54" t="n"/>
      <c r="G210" s="54" t="n"/>
      <c r="H210" s="54" t="n"/>
      <c r="I210" s="54" t="n"/>
      <c r="J210" s="54" t="n"/>
      <c r="K210" s="54" t="n"/>
      <c r="L210" s="54" t="n"/>
      <c r="M210" s="54" t="n"/>
    </row>
    <row r="211" ht="15.75" customHeight="1" s="51">
      <c r="A211" s="102" t="n"/>
      <c r="B211" s="102" t="n"/>
      <c r="C211" s="94" t="n"/>
      <c r="D211" s="54" t="n"/>
      <c r="E211" s="54" t="n"/>
      <c r="F211" s="54" t="n"/>
      <c r="G211" s="54" t="n"/>
      <c r="H211" s="54" t="n"/>
      <c r="I211" s="54" t="n"/>
      <c r="J211" s="54" t="n"/>
      <c r="K211" s="54" t="n"/>
      <c r="L211" s="54" t="n"/>
      <c r="M211" s="54" t="n"/>
    </row>
    <row r="212" ht="15.75" customHeight="1" s="51">
      <c r="A212" s="102" t="n"/>
      <c r="B212" s="102" t="n"/>
      <c r="C212" s="94" t="n"/>
      <c r="D212" s="54" t="n"/>
      <c r="E212" s="54" t="n"/>
      <c r="F212" s="54" t="n"/>
      <c r="G212" s="54" t="n"/>
      <c r="H212" s="54" t="n"/>
      <c r="I212" s="54" t="n"/>
      <c r="J212" s="54" t="n"/>
      <c r="K212" s="54" t="n"/>
      <c r="L212" s="54" t="n"/>
      <c r="M212" s="54" t="n"/>
    </row>
    <row r="213" ht="15.75" customHeight="1" s="51">
      <c r="A213" s="102" t="n"/>
      <c r="B213" s="102" t="n"/>
      <c r="C213" s="94" t="n"/>
      <c r="D213" s="54" t="n"/>
      <c r="E213" s="54" t="n"/>
      <c r="F213" s="54" t="n"/>
      <c r="G213" s="54" t="n"/>
      <c r="H213" s="54" t="n"/>
      <c r="I213" s="54" t="n"/>
      <c r="J213" s="54" t="n"/>
      <c r="K213" s="54" t="n"/>
      <c r="L213" s="54" t="n"/>
      <c r="M213" s="54" t="n"/>
    </row>
    <row r="214" ht="15.75" customHeight="1" s="51">
      <c r="A214" s="102" t="n"/>
      <c r="B214" s="102" t="n"/>
      <c r="C214" s="94" t="n"/>
      <c r="D214" s="54" t="n"/>
      <c r="E214" s="54" t="n"/>
      <c r="F214" s="54" t="n"/>
      <c r="G214" s="54" t="n"/>
      <c r="H214" s="54" t="n"/>
      <c r="I214" s="54" t="n"/>
      <c r="J214" s="54" t="n"/>
      <c r="K214" s="54" t="n"/>
      <c r="L214" s="54" t="n"/>
      <c r="M214" s="54" t="n"/>
    </row>
    <row r="215" ht="15.75" customHeight="1" s="51">
      <c r="A215" s="102" t="n"/>
      <c r="B215" s="102" t="n"/>
      <c r="C215" s="94" t="n"/>
      <c r="D215" s="54" t="n"/>
      <c r="E215" s="54" t="n"/>
      <c r="F215" s="54" t="n"/>
      <c r="G215" s="54" t="n"/>
      <c r="H215" s="54" t="n"/>
      <c r="I215" s="54" t="n"/>
      <c r="J215" s="54" t="n"/>
      <c r="K215" s="54" t="n"/>
      <c r="L215" s="54" t="n"/>
      <c r="M215" s="54" t="n"/>
    </row>
    <row r="216" ht="15.75" customHeight="1" s="51">
      <c r="A216" s="102" t="n"/>
      <c r="B216" s="102" t="n"/>
      <c r="C216" s="94" t="n"/>
      <c r="D216" s="54" t="n"/>
      <c r="E216" s="54" t="n"/>
      <c r="F216" s="54" t="n"/>
      <c r="G216" s="54" t="n"/>
      <c r="H216" s="54" t="n"/>
      <c r="I216" s="54" t="n"/>
      <c r="J216" s="54" t="n"/>
      <c r="K216" s="54" t="n"/>
      <c r="L216" s="54" t="n"/>
      <c r="M216" s="54" t="n"/>
    </row>
    <row r="217" ht="15.75" customHeight="1" s="51">
      <c r="A217" s="102" t="n"/>
      <c r="B217" s="102" t="n"/>
      <c r="C217" s="94" t="n"/>
      <c r="D217" s="54" t="n"/>
      <c r="E217" s="54" t="n"/>
      <c r="F217" s="54" t="n"/>
      <c r="G217" s="54" t="n"/>
      <c r="H217" s="54" t="n"/>
      <c r="I217" s="54" t="n"/>
      <c r="J217" s="54" t="n"/>
      <c r="K217" s="54" t="n"/>
      <c r="L217" s="54" t="n"/>
      <c r="M217" s="54" t="n"/>
    </row>
    <row r="218" ht="15.75" customHeight="1" s="51">
      <c r="A218" s="102" t="n"/>
      <c r="B218" s="102" t="n"/>
      <c r="C218" s="94" t="n"/>
      <c r="D218" s="54" t="n"/>
      <c r="E218" s="54" t="n"/>
      <c r="F218" s="54" t="n"/>
      <c r="G218" s="54" t="n"/>
      <c r="H218" s="54" t="n"/>
      <c r="I218" s="54" t="n"/>
      <c r="J218" s="54" t="n"/>
      <c r="K218" s="54" t="n"/>
      <c r="L218" s="54" t="n"/>
      <c r="M218" s="54" t="n"/>
    </row>
    <row r="219" ht="15.75" customHeight="1" s="51">
      <c r="A219" s="102" t="n"/>
      <c r="B219" s="102" t="n"/>
      <c r="C219" s="94" t="n"/>
      <c r="D219" s="54" t="n"/>
      <c r="E219" s="54" t="n"/>
      <c r="F219" s="54" t="n"/>
      <c r="G219" s="54" t="n"/>
      <c r="H219" s="54" t="n"/>
      <c r="I219" s="54" t="n"/>
      <c r="J219" s="54" t="n"/>
      <c r="K219" s="54" t="n"/>
      <c r="L219" s="54" t="n"/>
      <c r="M219" s="54" t="n"/>
    </row>
    <row r="220" ht="15.75" customHeight="1" s="51">
      <c r="A220" s="102" t="n"/>
      <c r="B220" s="102" t="n"/>
      <c r="C220" s="94" t="n"/>
      <c r="D220" s="54" t="n"/>
      <c r="E220" s="54" t="n"/>
      <c r="F220" s="54" t="n"/>
      <c r="G220" s="54" t="n"/>
      <c r="H220" s="54" t="n"/>
      <c r="I220" s="54" t="n"/>
      <c r="J220" s="54" t="n"/>
      <c r="K220" s="54" t="n"/>
      <c r="L220" s="54" t="n"/>
      <c r="M220" s="54" t="n"/>
    </row>
    <row r="221" ht="15.75" customHeight="1" s="51">
      <c r="A221" s="102" t="n"/>
      <c r="B221" s="102" t="n"/>
      <c r="C221" s="94" t="n"/>
      <c r="D221" s="54" t="n"/>
      <c r="E221" s="54" t="n"/>
      <c r="F221" s="54" t="n"/>
      <c r="G221" s="54" t="n"/>
      <c r="H221" s="54" t="n"/>
      <c r="I221" s="54" t="n"/>
      <c r="J221" s="54" t="n"/>
      <c r="K221" s="54" t="n"/>
      <c r="L221" s="54" t="n"/>
      <c r="M221" s="54" t="n"/>
    </row>
    <row r="222" ht="15.75" customHeight="1" s="51">
      <c r="A222" s="102" t="n"/>
      <c r="B222" s="102" t="n"/>
      <c r="C222" s="94" t="n"/>
      <c r="D222" s="54" t="n"/>
      <c r="E222" s="54" t="n"/>
      <c r="F222" s="54" t="n"/>
      <c r="G222" s="54" t="n"/>
      <c r="H222" s="54" t="n"/>
      <c r="I222" s="54" t="n"/>
      <c r="J222" s="54" t="n"/>
      <c r="K222" s="54" t="n"/>
      <c r="L222" s="54" t="n"/>
      <c r="M222" s="54" t="n"/>
    </row>
    <row r="223" ht="15.75" customHeight="1" s="51">
      <c r="A223" s="102" t="n"/>
      <c r="B223" s="102" t="n"/>
      <c r="C223" s="94" t="n"/>
      <c r="D223" s="54" t="n"/>
      <c r="E223" s="54" t="n"/>
      <c r="F223" s="54" t="n"/>
      <c r="G223" s="54" t="n"/>
      <c r="H223" s="54" t="n"/>
      <c r="I223" s="54" t="n"/>
      <c r="J223" s="54" t="n"/>
      <c r="K223" s="54" t="n"/>
      <c r="L223" s="54" t="n"/>
      <c r="M223" s="54" t="n"/>
    </row>
    <row r="224" ht="15.75" customHeight="1" s="51">
      <c r="A224" s="102" t="n"/>
      <c r="B224" s="102" t="n"/>
      <c r="C224" s="94" t="n"/>
      <c r="D224" s="54" t="n"/>
      <c r="E224" s="54" t="n"/>
      <c r="F224" s="54" t="n"/>
      <c r="G224" s="54" t="n"/>
      <c r="H224" s="54" t="n"/>
      <c r="I224" s="54" t="n"/>
      <c r="J224" s="54" t="n"/>
      <c r="K224" s="54" t="n"/>
      <c r="L224" s="54" t="n"/>
      <c r="M224" s="54" t="n"/>
    </row>
    <row r="225" ht="15.75" customHeight="1" s="51">
      <c r="A225" s="102" t="n"/>
      <c r="B225" s="102" t="n"/>
      <c r="C225" s="94" t="n"/>
      <c r="D225" s="54" t="n"/>
      <c r="E225" s="54" t="n"/>
      <c r="F225" s="54" t="n"/>
      <c r="G225" s="54" t="n"/>
      <c r="H225" s="54" t="n"/>
      <c r="I225" s="54" t="n"/>
      <c r="J225" s="54" t="n"/>
      <c r="K225" s="54" t="n"/>
      <c r="L225" s="54" t="n"/>
      <c r="M225" s="54" t="n"/>
    </row>
    <row r="226" ht="15.75" customHeight="1" s="51">
      <c r="A226" s="102" t="n"/>
      <c r="B226" s="102" t="n"/>
      <c r="C226" s="94" t="n"/>
      <c r="D226" s="54" t="n"/>
      <c r="E226" s="54" t="n"/>
      <c r="F226" s="54" t="n"/>
      <c r="G226" s="54" t="n"/>
      <c r="H226" s="54" t="n"/>
      <c r="I226" s="54" t="n"/>
      <c r="J226" s="54" t="n"/>
      <c r="K226" s="54" t="n"/>
      <c r="L226" s="54" t="n"/>
      <c r="M226" s="54" t="n"/>
    </row>
    <row r="227" ht="15.75" customHeight="1" s="51">
      <c r="A227" s="102" t="n"/>
      <c r="B227" s="102" t="n"/>
      <c r="C227" s="94" t="n"/>
      <c r="D227" s="54" t="n"/>
      <c r="E227" s="54" t="n"/>
      <c r="F227" s="54" t="n"/>
      <c r="G227" s="54" t="n"/>
      <c r="H227" s="54" t="n"/>
      <c r="I227" s="54" t="n"/>
      <c r="J227" s="54" t="n"/>
      <c r="K227" s="54" t="n"/>
      <c r="L227" s="54" t="n"/>
      <c r="M227" s="54" t="n"/>
    </row>
    <row r="228" ht="15.75" customHeight="1" s="51">
      <c r="A228" s="102" t="n"/>
      <c r="B228" s="102" t="n"/>
      <c r="C228" s="94" t="n"/>
      <c r="D228" s="54" t="n"/>
      <c r="E228" s="54" t="n"/>
      <c r="F228" s="54" t="n"/>
      <c r="G228" s="54" t="n"/>
      <c r="H228" s="54" t="n"/>
      <c r="I228" s="54" t="n"/>
      <c r="J228" s="54" t="n"/>
      <c r="K228" s="54" t="n"/>
      <c r="L228" s="54" t="n"/>
      <c r="M228" s="54" t="n"/>
    </row>
    <row r="229" ht="15.75" customHeight="1" s="51">
      <c r="A229" s="102" t="n"/>
      <c r="B229" s="102" t="n"/>
      <c r="C229" s="94" t="n"/>
      <c r="D229" s="54" t="n"/>
      <c r="E229" s="54" t="n"/>
      <c r="F229" s="54" t="n"/>
      <c r="G229" s="54" t="n"/>
      <c r="H229" s="54" t="n"/>
      <c r="I229" s="54" t="n"/>
      <c r="J229" s="54" t="n"/>
      <c r="K229" s="54" t="n"/>
      <c r="L229" s="54" t="n"/>
      <c r="M229" s="54" t="n"/>
    </row>
    <row r="230" ht="15.75" customHeight="1" s="51">
      <c r="A230" s="102" t="n"/>
      <c r="B230" s="102" t="n"/>
      <c r="C230" s="94" t="n"/>
      <c r="D230" s="54" t="n"/>
      <c r="E230" s="54" t="n"/>
      <c r="F230" s="54" t="n"/>
      <c r="G230" s="54" t="n"/>
      <c r="H230" s="54" t="n"/>
      <c r="I230" s="54" t="n"/>
      <c r="J230" s="54" t="n"/>
      <c r="K230" s="54" t="n"/>
      <c r="L230" s="54" t="n"/>
      <c r="M230" s="54" t="n"/>
    </row>
    <row r="231" ht="15.75" customHeight="1" s="51">
      <c r="A231" s="102" t="n"/>
      <c r="B231" s="102" t="n"/>
      <c r="C231" s="94" t="n"/>
      <c r="D231" s="54" t="n"/>
      <c r="E231" s="54" t="n"/>
      <c r="F231" s="54" t="n"/>
      <c r="G231" s="54" t="n"/>
      <c r="H231" s="54" t="n"/>
      <c r="I231" s="54" t="n"/>
      <c r="J231" s="54" t="n"/>
      <c r="K231" s="54" t="n"/>
      <c r="L231" s="54" t="n"/>
      <c r="M231" s="54" t="n"/>
    </row>
    <row r="232" ht="15.75" customHeight="1" s="51">
      <c r="A232" s="102" t="n"/>
      <c r="B232" s="102" t="n"/>
      <c r="C232" s="94" t="n"/>
      <c r="D232" s="54" t="n"/>
      <c r="E232" s="54" t="n"/>
      <c r="F232" s="54" t="n"/>
      <c r="G232" s="54" t="n"/>
      <c r="H232" s="54" t="n"/>
      <c r="I232" s="54" t="n"/>
      <c r="J232" s="54" t="n"/>
      <c r="K232" s="54" t="n"/>
      <c r="L232" s="54" t="n"/>
      <c r="M232" s="54" t="n"/>
    </row>
    <row r="233" ht="15.75" customHeight="1" s="51">
      <c r="A233" s="102" t="n"/>
      <c r="B233" s="102" t="n"/>
      <c r="C233" s="94" t="n"/>
      <c r="D233" s="54" t="n"/>
      <c r="E233" s="54" t="n"/>
      <c r="F233" s="54" t="n"/>
      <c r="G233" s="54" t="n"/>
      <c r="H233" s="54" t="n"/>
      <c r="I233" s="54" t="n"/>
      <c r="J233" s="54" t="n"/>
      <c r="K233" s="54" t="n"/>
      <c r="L233" s="54" t="n"/>
      <c r="M233" s="54" t="n"/>
    </row>
    <row r="234" ht="15.75" customHeight="1" s="51">
      <c r="A234" s="102" t="n"/>
      <c r="B234" s="102" t="n"/>
      <c r="C234" s="94" t="n"/>
      <c r="D234" s="54" t="n"/>
      <c r="E234" s="54" t="n"/>
      <c r="F234" s="54" t="n"/>
      <c r="G234" s="54" t="n"/>
      <c r="H234" s="54" t="n"/>
      <c r="I234" s="54" t="n"/>
      <c r="J234" s="54" t="n"/>
      <c r="K234" s="54" t="n"/>
      <c r="L234" s="54" t="n"/>
      <c r="M234" s="54" t="n"/>
    </row>
    <row r="235" ht="15.75" customHeight="1" s="51">
      <c r="A235" s="102" t="n"/>
      <c r="B235" s="102" t="n"/>
      <c r="C235" s="94" t="n"/>
      <c r="D235" s="54" t="n"/>
      <c r="E235" s="54" t="n"/>
      <c r="F235" s="54" t="n"/>
      <c r="G235" s="54" t="n"/>
      <c r="H235" s="54" t="n"/>
      <c r="I235" s="54" t="n"/>
      <c r="J235" s="54" t="n"/>
      <c r="K235" s="54" t="n"/>
      <c r="L235" s="54" t="n"/>
      <c r="M235" s="54" t="n"/>
    </row>
    <row r="236" ht="15.75" customHeight="1" s="51">
      <c r="A236" s="102" t="n"/>
      <c r="B236" s="102" t="n"/>
      <c r="C236" s="94" t="n"/>
      <c r="D236" s="54" t="n"/>
      <c r="E236" s="54" t="n"/>
      <c r="F236" s="54" t="n"/>
      <c r="G236" s="54" t="n"/>
      <c r="H236" s="54" t="n"/>
      <c r="I236" s="54" t="n"/>
      <c r="J236" s="54" t="n"/>
      <c r="K236" s="54" t="n"/>
      <c r="L236" s="54" t="n"/>
      <c r="M236" s="54" t="n"/>
    </row>
    <row r="237" ht="15.75" customHeight="1" s="51">
      <c r="A237" s="102" t="n"/>
      <c r="B237" s="102" t="n"/>
      <c r="C237" s="94" t="n"/>
      <c r="D237" s="54" t="n"/>
      <c r="E237" s="54" t="n"/>
      <c r="F237" s="54" t="n"/>
      <c r="G237" s="54" t="n"/>
      <c r="H237" s="54" t="n"/>
      <c r="I237" s="54" t="n"/>
      <c r="J237" s="54" t="n"/>
      <c r="K237" s="54" t="n"/>
      <c r="L237" s="54" t="n"/>
      <c r="M237" s="54" t="n"/>
    </row>
    <row r="238" ht="15.75" customHeight="1" s="51">
      <c r="A238" s="102" t="n"/>
      <c r="B238" s="102" t="n"/>
      <c r="C238" s="94" t="n"/>
      <c r="D238" s="54" t="n"/>
      <c r="E238" s="54" t="n"/>
      <c r="F238" s="54" t="n"/>
      <c r="G238" s="54" t="n"/>
      <c r="H238" s="54" t="n"/>
      <c r="I238" s="54" t="n"/>
      <c r="J238" s="54" t="n"/>
      <c r="K238" s="54" t="n"/>
      <c r="L238" s="54" t="n"/>
      <c r="M238" s="54" t="n"/>
    </row>
    <row r="239" ht="15.75" customHeight="1" s="51">
      <c r="A239" s="102" t="n"/>
      <c r="B239" s="102" t="n"/>
      <c r="C239" s="94" t="n"/>
      <c r="D239" s="54" t="n"/>
      <c r="E239" s="54" t="n"/>
      <c r="F239" s="54" t="n"/>
      <c r="G239" s="54" t="n"/>
      <c r="H239" s="54" t="n"/>
      <c r="I239" s="54" t="n"/>
      <c r="J239" s="54" t="n"/>
      <c r="K239" s="54" t="n"/>
      <c r="L239" s="54" t="n"/>
      <c r="M239" s="54" t="n"/>
    </row>
    <row r="240" ht="15.75" customHeight="1" s="51">
      <c r="A240" s="102" t="n"/>
      <c r="B240" s="102" t="n"/>
      <c r="C240" s="94" t="n"/>
      <c r="D240" s="54" t="n"/>
      <c r="E240" s="54" t="n"/>
      <c r="F240" s="54" t="n"/>
      <c r="G240" s="54" t="n"/>
      <c r="H240" s="54" t="n"/>
      <c r="I240" s="54" t="n"/>
      <c r="J240" s="54" t="n"/>
      <c r="K240" s="54" t="n"/>
      <c r="L240" s="54" t="n"/>
      <c r="M240" s="54" t="n"/>
    </row>
    <row r="241" ht="15.75" customHeight="1" s="51">
      <c r="A241" s="102" t="n"/>
      <c r="B241" s="102" t="n"/>
      <c r="C241" s="94" t="n"/>
      <c r="D241" s="54" t="n"/>
      <c r="E241" s="54" t="n"/>
      <c r="F241" s="54" t="n"/>
      <c r="G241" s="54" t="n"/>
      <c r="H241" s="54" t="n"/>
      <c r="I241" s="54" t="n"/>
      <c r="J241" s="54" t="n"/>
      <c r="K241" s="54" t="n"/>
      <c r="L241" s="54" t="n"/>
      <c r="M241" s="54" t="n"/>
    </row>
    <row r="242" ht="15.75" customHeight="1" s="51">
      <c r="A242" s="102" t="n"/>
      <c r="B242" s="102" t="n"/>
      <c r="C242" s="94" t="n"/>
      <c r="D242" s="54" t="n"/>
      <c r="E242" s="54" t="n"/>
      <c r="F242" s="54" t="n"/>
      <c r="G242" s="54" t="n"/>
      <c r="H242" s="54" t="n"/>
      <c r="I242" s="54" t="n"/>
      <c r="J242" s="54" t="n"/>
      <c r="K242" s="54" t="n"/>
      <c r="L242" s="54" t="n"/>
      <c r="M242" s="54" t="n"/>
    </row>
    <row r="243" ht="15.75" customHeight="1" s="51">
      <c r="A243" s="102" t="n"/>
      <c r="B243" s="102" t="n"/>
      <c r="C243" s="94" t="n"/>
      <c r="D243" s="54" t="n"/>
      <c r="E243" s="54" t="n"/>
      <c r="F243" s="54" t="n"/>
      <c r="G243" s="54" t="n"/>
      <c r="H243" s="54" t="n"/>
      <c r="I243" s="54" t="n"/>
      <c r="J243" s="54" t="n"/>
      <c r="K243" s="54" t="n"/>
      <c r="L243" s="54" t="n"/>
      <c r="M243" s="54" t="n"/>
    </row>
    <row r="244" ht="15.75" customHeight="1" s="51">
      <c r="A244" s="102" t="n"/>
      <c r="B244" s="102" t="n"/>
      <c r="C244" s="94" t="n"/>
      <c r="D244" s="54" t="n"/>
      <c r="E244" s="54" t="n"/>
      <c r="F244" s="54" t="n"/>
      <c r="G244" s="54" t="n"/>
      <c r="H244" s="54" t="n"/>
      <c r="I244" s="54" t="n"/>
      <c r="J244" s="54" t="n"/>
      <c r="K244" s="54" t="n"/>
      <c r="L244" s="54" t="n"/>
      <c r="M244" s="54" t="n"/>
    </row>
    <row r="245" ht="15.75" customHeight="1" s="51">
      <c r="A245" s="102" t="n"/>
      <c r="B245" s="102" t="n"/>
      <c r="C245" s="94" t="n"/>
      <c r="D245" s="54" t="n"/>
      <c r="E245" s="54" t="n"/>
      <c r="F245" s="54" t="n"/>
      <c r="G245" s="54" t="n"/>
      <c r="H245" s="54" t="n"/>
      <c r="I245" s="54" t="n"/>
      <c r="J245" s="54" t="n"/>
      <c r="K245" s="54" t="n"/>
      <c r="L245" s="54" t="n"/>
      <c r="M245" s="54" t="n"/>
    </row>
    <row r="246" ht="15.75" customHeight="1" s="51">
      <c r="A246" s="102" t="n"/>
      <c r="B246" s="102" t="n"/>
      <c r="C246" s="94" t="n"/>
      <c r="D246" s="54" t="n"/>
      <c r="E246" s="54" t="n"/>
      <c r="F246" s="54" t="n"/>
      <c r="G246" s="54" t="n"/>
      <c r="H246" s="54" t="n"/>
      <c r="I246" s="54" t="n"/>
      <c r="J246" s="54" t="n"/>
      <c r="K246" s="54" t="n"/>
      <c r="L246" s="54" t="n"/>
      <c r="M246" s="54" t="n"/>
    </row>
    <row r="247" ht="15.75" customHeight="1" s="51">
      <c r="A247" s="102" t="n"/>
      <c r="B247" s="102" t="n"/>
      <c r="C247" s="94" t="n"/>
      <c r="D247" s="54" t="n"/>
      <c r="E247" s="54" t="n"/>
      <c r="F247" s="54" t="n"/>
      <c r="G247" s="54" t="n"/>
      <c r="H247" s="54" t="n"/>
      <c r="I247" s="54" t="n"/>
      <c r="J247" s="54" t="n"/>
      <c r="K247" s="54" t="n"/>
      <c r="L247" s="54" t="n"/>
      <c r="M247" s="54" t="n"/>
    </row>
    <row r="248" ht="15.75" customHeight="1" s="51">
      <c r="A248" s="102" t="n"/>
      <c r="B248" s="102" t="n"/>
      <c r="C248" s="94" t="n"/>
      <c r="D248" s="54" t="n"/>
      <c r="E248" s="54" t="n"/>
      <c r="F248" s="54" t="n"/>
      <c r="G248" s="54" t="n"/>
      <c r="H248" s="54" t="n"/>
      <c r="I248" s="54" t="n"/>
      <c r="J248" s="54" t="n"/>
      <c r="K248" s="54" t="n"/>
      <c r="L248" s="54" t="n"/>
      <c r="M248" s="54" t="n"/>
    </row>
    <row r="249" ht="15.75" customHeight="1" s="51">
      <c r="A249" s="102" t="n"/>
      <c r="B249" s="102" t="n"/>
      <c r="C249" s="94" t="n"/>
      <c r="D249" s="54" t="n"/>
      <c r="E249" s="54" t="n"/>
      <c r="F249" s="54" t="n"/>
      <c r="G249" s="54" t="n"/>
      <c r="H249" s="54" t="n"/>
      <c r="I249" s="54" t="n"/>
      <c r="J249" s="54" t="n"/>
      <c r="K249" s="54" t="n"/>
      <c r="L249" s="54" t="n"/>
      <c r="M249" s="54" t="n"/>
    </row>
    <row r="250" ht="15.75" customHeight="1" s="51">
      <c r="A250" s="102" t="n"/>
      <c r="B250" s="102" t="n"/>
      <c r="C250" s="94" t="n"/>
      <c r="D250" s="54" t="n"/>
      <c r="E250" s="54" t="n"/>
      <c r="F250" s="54" t="n"/>
      <c r="G250" s="54" t="n"/>
      <c r="H250" s="54" t="n"/>
      <c r="I250" s="54" t="n"/>
      <c r="J250" s="54" t="n"/>
      <c r="K250" s="54" t="n"/>
      <c r="L250" s="54" t="n"/>
      <c r="M250" s="54" t="n"/>
    </row>
    <row r="251" ht="15.75" customHeight="1" s="51">
      <c r="A251" s="102" t="n"/>
      <c r="B251" s="102" t="n"/>
      <c r="C251" s="94" t="n"/>
      <c r="D251" s="54" t="n"/>
      <c r="E251" s="54" t="n"/>
      <c r="F251" s="54" t="n"/>
      <c r="G251" s="54" t="n"/>
      <c r="H251" s="54" t="n"/>
      <c r="I251" s="54" t="n"/>
      <c r="J251" s="54" t="n"/>
      <c r="K251" s="54" t="n"/>
      <c r="L251" s="54" t="n"/>
      <c r="M251" s="54" t="n"/>
    </row>
    <row r="252" ht="15.75" customHeight="1" s="51">
      <c r="A252" s="102" t="n"/>
      <c r="B252" s="102" t="n"/>
      <c r="C252" s="94" t="n"/>
      <c r="D252" s="54" t="n"/>
      <c r="E252" s="54" t="n"/>
      <c r="F252" s="54" t="n"/>
      <c r="G252" s="54" t="n"/>
      <c r="H252" s="54" t="n"/>
      <c r="I252" s="54" t="n"/>
      <c r="J252" s="54" t="n"/>
      <c r="K252" s="54" t="n"/>
      <c r="L252" s="54" t="n"/>
      <c r="M252" s="54" t="n"/>
    </row>
    <row r="253" ht="15.75" customHeight="1" s="51">
      <c r="A253" s="102" t="n"/>
      <c r="B253" s="102" t="n"/>
      <c r="C253" s="94" t="n"/>
      <c r="D253" s="54" t="n"/>
      <c r="E253" s="54" t="n"/>
      <c r="F253" s="54" t="n"/>
      <c r="G253" s="54" t="n"/>
      <c r="H253" s="54" t="n"/>
      <c r="I253" s="54" t="n"/>
      <c r="J253" s="54" t="n"/>
      <c r="K253" s="54" t="n"/>
      <c r="L253" s="54" t="n"/>
      <c r="M253" s="54" t="n"/>
    </row>
    <row r="254" ht="15.75" customHeight="1" s="51">
      <c r="A254" s="102" t="n"/>
      <c r="B254" s="102" t="n"/>
      <c r="C254" s="94" t="n"/>
      <c r="D254" s="54" t="n"/>
      <c r="E254" s="54" t="n"/>
      <c r="F254" s="54" t="n"/>
      <c r="G254" s="54" t="n"/>
      <c r="H254" s="54" t="n"/>
      <c r="I254" s="54" t="n"/>
      <c r="J254" s="54" t="n"/>
      <c r="K254" s="54" t="n"/>
      <c r="L254" s="54" t="n"/>
      <c r="M254" s="54" t="n"/>
    </row>
    <row r="255" ht="15.75" customHeight="1" s="51">
      <c r="A255" s="102" t="n"/>
      <c r="B255" s="102" t="n"/>
      <c r="C255" s="94" t="n"/>
      <c r="D255" s="54" t="n"/>
      <c r="E255" s="54" t="n"/>
      <c r="F255" s="54" t="n"/>
      <c r="G255" s="54" t="n"/>
      <c r="H255" s="54" t="n"/>
      <c r="I255" s="54" t="n"/>
      <c r="J255" s="54" t="n"/>
      <c r="K255" s="54" t="n"/>
      <c r="L255" s="54" t="n"/>
      <c r="M255" s="54" t="n"/>
    </row>
    <row r="256" ht="15.75" customHeight="1" s="51">
      <c r="A256" s="102" t="n"/>
      <c r="B256" s="102" t="n"/>
      <c r="C256" s="94" t="n"/>
      <c r="D256" s="54" t="n"/>
      <c r="E256" s="54" t="n"/>
      <c r="F256" s="54" t="n"/>
      <c r="G256" s="54" t="n"/>
      <c r="H256" s="54" t="n"/>
      <c r="I256" s="54" t="n"/>
      <c r="J256" s="54" t="n"/>
      <c r="K256" s="54" t="n"/>
      <c r="L256" s="54" t="n"/>
      <c r="M256" s="54" t="n"/>
    </row>
    <row r="257" ht="15.75" customHeight="1" s="51">
      <c r="A257" s="102" t="n"/>
      <c r="B257" s="102" t="n"/>
      <c r="C257" s="94" t="n"/>
      <c r="D257" s="54" t="n"/>
      <c r="E257" s="54" t="n"/>
      <c r="F257" s="54" t="n"/>
      <c r="G257" s="54" t="n"/>
      <c r="H257" s="54" t="n"/>
      <c r="I257" s="54" t="n"/>
      <c r="J257" s="54" t="n"/>
      <c r="K257" s="54" t="n"/>
      <c r="L257" s="54" t="n"/>
      <c r="M257" s="54" t="n"/>
    </row>
    <row r="258" ht="15.75" customHeight="1" s="51">
      <c r="A258" s="102" t="n"/>
      <c r="B258" s="102" t="n"/>
      <c r="C258" s="94" t="n"/>
      <c r="D258" s="54" t="n"/>
      <c r="E258" s="54" t="n"/>
      <c r="F258" s="54" t="n"/>
      <c r="G258" s="54" t="n"/>
      <c r="H258" s="54" t="n"/>
      <c r="I258" s="54" t="n"/>
      <c r="J258" s="54" t="n"/>
      <c r="K258" s="54" t="n"/>
      <c r="L258" s="54" t="n"/>
      <c r="M258" s="54" t="n"/>
    </row>
    <row r="259" ht="15.75" customHeight="1" s="51">
      <c r="A259" s="102" t="n"/>
      <c r="B259" s="102" t="n"/>
      <c r="C259" s="94" t="n"/>
      <c r="D259" s="54" t="n"/>
      <c r="E259" s="54" t="n"/>
      <c r="F259" s="54" t="n"/>
      <c r="G259" s="54" t="n"/>
      <c r="H259" s="54" t="n"/>
      <c r="I259" s="54" t="n"/>
      <c r="J259" s="54" t="n"/>
      <c r="K259" s="54" t="n"/>
      <c r="L259" s="54" t="n"/>
      <c r="M259" s="54" t="n"/>
    </row>
    <row r="260" ht="15.75" customHeight="1" s="51">
      <c r="A260" s="102" t="n"/>
      <c r="B260" s="102" t="n"/>
      <c r="C260" s="94" t="n"/>
      <c r="D260" s="54" t="n"/>
      <c r="E260" s="54" t="n"/>
      <c r="F260" s="54" t="n"/>
      <c r="G260" s="54" t="n"/>
      <c r="H260" s="54" t="n"/>
      <c r="I260" s="54" t="n"/>
      <c r="J260" s="54" t="n"/>
      <c r="K260" s="54" t="n"/>
      <c r="L260" s="54" t="n"/>
      <c r="M260" s="54" t="n"/>
    </row>
    <row r="261" ht="15.75" customHeight="1" s="51">
      <c r="A261" s="102" t="n"/>
      <c r="B261" s="102" t="n"/>
      <c r="C261" s="94" t="n"/>
      <c r="D261" s="54" t="n"/>
      <c r="E261" s="54" t="n"/>
      <c r="F261" s="54" t="n"/>
      <c r="G261" s="54" t="n"/>
      <c r="H261" s="54" t="n"/>
      <c r="I261" s="54" t="n"/>
      <c r="J261" s="54" t="n"/>
      <c r="K261" s="54" t="n"/>
      <c r="L261" s="54" t="n"/>
      <c r="M261" s="54" t="n"/>
    </row>
    <row r="262" ht="15.75" customHeight="1" s="51">
      <c r="A262" s="102" t="n"/>
      <c r="B262" s="102" t="n"/>
      <c r="C262" s="94" t="n"/>
      <c r="D262" s="54" t="n"/>
      <c r="E262" s="54" t="n"/>
      <c r="F262" s="54" t="n"/>
      <c r="G262" s="54" t="n"/>
      <c r="H262" s="54" t="n"/>
      <c r="I262" s="54" t="n"/>
      <c r="J262" s="54" t="n"/>
      <c r="K262" s="54" t="n"/>
      <c r="L262" s="54" t="n"/>
      <c r="M262" s="54" t="n"/>
    </row>
    <row r="263" ht="15.75" customHeight="1" s="51">
      <c r="A263" s="102" t="n"/>
      <c r="B263" s="102" t="n"/>
      <c r="C263" s="94" t="n"/>
      <c r="D263" s="54" t="n"/>
      <c r="E263" s="54" t="n"/>
      <c r="F263" s="54" t="n"/>
      <c r="G263" s="54" t="n"/>
      <c r="H263" s="54" t="n"/>
      <c r="I263" s="54" t="n"/>
      <c r="J263" s="54" t="n"/>
      <c r="K263" s="54" t="n"/>
      <c r="L263" s="54" t="n"/>
      <c r="M263" s="54" t="n"/>
    </row>
    <row r="264" ht="15.75" customHeight="1" s="51">
      <c r="A264" s="102" t="n"/>
      <c r="B264" s="102" t="n"/>
      <c r="C264" s="94" t="n"/>
      <c r="D264" s="54" t="n"/>
      <c r="E264" s="54" t="n"/>
      <c r="F264" s="54" t="n"/>
      <c r="G264" s="54" t="n"/>
      <c r="H264" s="54" t="n"/>
      <c r="I264" s="54" t="n"/>
      <c r="J264" s="54" t="n"/>
      <c r="K264" s="54" t="n"/>
      <c r="L264" s="54" t="n"/>
      <c r="M264" s="54" t="n"/>
    </row>
    <row r="265" ht="15.75" customHeight="1" s="51">
      <c r="A265" s="102" t="n"/>
      <c r="B265" s="102" t="n"/>
      <c r="C265" s="94" t="n"/>
      <c r="D265" s="54" t="n"/>
      <c r="E265" s="54" t="n"/>
      <c r="F265" s="54" t="n"/>
      <c r="G265" s="54" t="n"/>
      <c r="H265" s="54" t="n"/>
      <c r="I265" s="54" t="n"/>
      <c r="J265" s="54" t="n"/>
      <c r="K265" s="54" t="n"/>
      <c r="L265" s="54" t="n"/>
      <c r="M265" s="54" t="n"/>
    </row>
    <row r="266" ht="15.75" customHeight="1" s="51">
      <c r="A266" s="102" t="n"/>
      <c r="B266" s="102" t="n"/>
      <c r="C266" s="94" t="n"/>
      <c r="D266" s="54" t="n"/>
      <c r="E266" s="54" t="n"/>
      <c r="F266" s="54" t="n"/>
      <c r="G266" s="54" t="n"/>
      <c r="H266" s="54" t="n"/>
      <c r="I266" s="54" t="n"/>
      <c r="J266" s="54" t="n"/>
      <c r="K266" s="54" t="n"/>
      <c r="L266" s="54" t="n"/>
      <c r="M266" s="54" t="n"/>
    </row>
    <row r="267" ht="15.75" customHeight="1" s="51">
      <c r="A267" s="102" t="n"/>
      <c r="B267" s="102" t="n"/>
      <c r="C267" s="94" t="n"/>
      <c r="D267" s="54" t="n"/>
      <c r="E267" s="54" t="n"/>
      <c r="F267" s="54" t="n"/>
      <c r="G267" s="54" t="n"/>
      <c r="H267" s="54" t="n"/>
      <c r="I267" s="54" t="n"/>
      <c r="J267" s="54" t="n"/>
      <c r="K267" s="54" t="n"/>
      <c r="L267" s="54" t="n"/>
      <c r="M267" s="54" t="n"/>
    </row>
    <row r="268" ht="15.75" customHeight="1" s="51">
      <c r="A268" s="102" t="n"/>
      <c r="B268" s="102" t="n"/>
      <c r="C268" s="94" t="n"/>
      <c r="D268" s="54" t="n"/>
      <c r="E268" s="54" t="n"/>
      <c r="F268" s="54" t="n"/>
      <c r="G268" s="54" t="n"/>
      <c r="H268" s="54" t="n"/>
      <c r="I268" s="54" t="n"/>
      <c r="J268" s="54" t="n"/>
      <c r="K268" s="54" t="n"/>
      <c r="L268" s="54" t="n"/>
      <c r="M268" s="54" t="n"/>
    </row>
    <row r="269" ht="15.75" customHeight="1" s="51">
      <c r="A269" s="102" t="n"/>
      <c r="B269" s="102" t="n"/>
      <c r="C269" s="94" t="n"/>
      <c r="D269" s="54" t="n"/>
      <c r="E269" s="54" t="n"/>
      <c r="F269" s="54" t="n"/>
      <c r="G269" s="54" t="n"/>
      <c r="H269" s="54" t="n"/>
      <c r="I269" s="54" t="n"/>
      <c r="J269" s="54" t="n"/>
      <c r="K269" s="54" t="n"/>
      <c r="L269" s="54" t="n"/>
      <c r="M269" s="54" t="n"/>
    </row>
    <row r="270" ht="15.75" customHeight="1" s="51">
      <c r="A270" s="102" t="n"/>
      <c r="B270" s="102" t="n"/>
      <c r="C270" s="94" t="n"/>
      <c r="D270" s="54" t="n"/>
      <c r="E270" s="54" t="n"/>
      <c r="F270" s="54" t="n"/>
      <c r="G270" s="54" t="n"/>
      <c r="H270" s="54" t="n"/>
      <c r="I270" s="54" t="n"/>
      <c r="J270" s="54" t="n"/>
      <c r="K270" s="54" t="n"/>
      <c r="L270" s="54" t="n"/>
      <c r="M270" s="54" t="n"/>
    </row>
    <row r="271" ht="15.75" customHeight="1" s="51">
      <c r="A271" s="102" t="n"/>
      <c r="B271" s="102" t="n"/>
      <c r="C271" s="94" t="n"/>
      <c r="D271" s="54" t="n"/>
      <c r="E271" s="54" t="n"/>
      <c r="F271" s="54" t="n"/>
      <c r="G271" s="54" t="n"/>
      <c r="H271" s="54" t="n"/>
      <c r="I271" s="54" t="n"/>
      <c r="J271" s="54" t="n"/>
      <c r="K271" s="54" t="n"/>
      <c r="L271" s="54" t="n"/>
      <c r="M271" s="54" t="n"/>
    </row>
    <row r="272" ht="15.75" customHeight="1" s="51">
      <c r="A272" s="102" t="n"/>
      <c r="B272" s="102" t="n"/>
      <c r="C272" s="94" t="n"/>
      <c r="D272" s="54" t="n"/>
      <c r="E272" s="54" t="n"/>
      <c r="F272" s="54" t="n"/>
      <c r="G272" s="54" t="n"/>
      <c r="H272" s="54" t="n"/>
      <c r="I272" s="54" t="n"/>
      <c r="J272" s="54" t="n"/>
      <c r="K272" s="54" t="n"/>
      <c r="L272" s="54" t="n"/>
      <c r="M272" s="54" t="n"/>
    </row>
    <row r="273" ht="15.75" customHeight="1" s="51">
      <c r="A273" s="102" t="n"/>
      <c r="B273" s="102" t="n"/>
      <c r="C273" s="94" t="n"/>
      <c r="D273" s="54" t="n"/>
      <c r="E273" s="54" t="n"/>
      <c r="F273" s="54" t="n"/>
      <c r="G273" s="54" t="n"/>
      <c r="H273" s="54" t="n"/>
      <c r="I273" s="54" t="n"/>
      <c r="J273" s="54" t="n"/>
      <c r="K273" s="54" t="n"/>
      <c r="L273" s="54" t="n"/>
      <c r="M273" s="54" t="n"/>
    </row>
    <row r="274" ht="15.75" customHeight="1" s="51">
      <c r="A274" s="102" t="n"/>
      <c r="B274" s="102" t="n"/>
      <c r="C274" s="94" t="n"/>
      <c r="D274" s="54" t="n"/>
      <c r="E274" s="54" t="n"/>
      <c r="F274" s="54" t="n"/>
      <c r="G274" s="54" t="n"/>
      <c r="H274" s="54" t="n"/>
      <c r="I274" s="54" t="n"/>
      <c r="J274" s="54" t="n"/>
      <c r="K274" s="54" t="n"/>
      <c r="L274" s="54" t="n"/>
      <c r="M274" s="54" t="n"/>
    </row>
    <row r="275" ht="15.75" customHeight="1" s="51">
      <c r="A275" s="102" t="n"/>
      <c r="B275" s="102" t="n"/>
      <c r="C275" s="94" t="n"/>
      <c r="D275" s="54" t="n"/>
      <c r="E275" s="54" t="n"/>
      <c r="F275" s="54" t="n"/>
      <c r="G275" s="54" t="n"/>
      <c r="H275" s="54" t="n"/>
      <c r="I275" s="54" t="n"/>
      <c r="J275" s="54" t="n"/>
      <c r="K275" s="54" t="n"/>
      <c r="L275" s="54" t="n"/>
      <c r="M275" s="54" t="n"/>
    </row>
    <row r="276" ht="15.75" customHeight="1" s="51">
      <c r="A276" s="102" t="n"/>
      <c r="B276" s="102" t="n"/>
      <c r="C276" s="94" t="n"/>
      <c r="D276" s="54" t="n"/>
      <c r="E276" s="54" t="n"/>
      <c r="F276" s="54" t="n"/>
      <c r="G276" s="54" t="n"/>
      <c r="H276" s="54" t="n"/>
      <c r="I276" s="54" t="n"/>
      <c r="J276" s="54" t="n"/>
      <c r="K276" s="54" t="n"/>
      <c r="L276" s="54" t="n"/>
      <c r="M276" s="54" t="n"/>
    </row>
    <row r="277" ht="15.75" customHeight="1" s="51">
      <c r="A277" s="102" t="n"/>
      <c r="B277" s="102" t="n"/>
      <c r="C277" s="94" t="n"/>
      <c r="D277" s="54" t="n"/>
      <c r="E277" s="54" t="n"/>
      <c r="F277" s="54" t="n"/>
      <c r="G277" s="54" t="n"/>
      <c r="H277" s="54" t="n"/>
      <c r="I277" s="54" t="n"/>
      <c r="J277" s="54" t="n"/>
      <c r="K277" s="54" t="n"/>
      <c r="L277" s="54" t="n"/>
      <c r="M277" s="54" t="n"/>
    </row>
    <row r="278" ht="15.75" customHeight="1" s="51">
      <c r="A278" s="102" t="n"/>
      <c r="B278" s="102" t="n"/>
      <c r="C278" s="94" t="n"/>
      <c r="D278" s="54" t="n"/>
      <c r="E278" s="54" t="n"/>
      <c r="F278" s="54" t="n"/>
      <c r="G278" s="54" t="n"/>
      <c r="H278" s="54" t="n"/>
      <c r="I278" s="54" t="n"/>
      <c r="J278" s="54" t="n"/>
      <c r="K278" s="54" t="n"/>
      <c r="L278" s="54" t="n"/>
      <c r="M278" s="54" t="n"/>
    </row>
    <row r="279" ht="15.75" customHeight="1" s="51">
      <c r="A279" s="102" t="n"/>
      <c r="B279" s="102" t="n"/>
      <c r="C279" s="94" t="n"/>
      <c r="D279" s="54" t="n"/>
      <c r="E279" s="54" t="n"/>
      <c r="F279" s="54" t="n"/>
      <c r="G279" s="54" t="n"/>
      <c r="H279" s="54" t="n"/>
      <c r="I279" s="54" t="n"/>
      <c r="J279" s="54" t="n"/>
      <c r="K279" s="54" t="n"/>
      <c r="L279" s="54" t="n"/>
      <c r="M279" s="54" t="n"/>
    </row>
    <row r="280" ht="15.75" customHeight="1" s="51">
      <c r="A280" s="102" t="n"/>
      <c r="B280" s="102" t="n"/>
      <c r="C280" s="94" t="n"/>
      <c r="D280" s="54" t="n"/>
      <c r="E280" s="54" t="n"/>
      <c r="F280" s="54" t="n"/>
      <c r="G280" s="54" t="n"/>
      <c r="H280" s="54" t="n"/>
      <c r="I280" s="54" t="n"/>
      <c r="J280" s="54" t="n"/>
      <c r="K280" s="54" t="n"/>
      <c r="L280" s="54" t="n"/>
      <c r="M280" s="54" t="n"/>
    </row>
    <row r="281" ht="15.75" customHeight="1" s="51">
      <c r="A281" s="102" t="n"/>
      <c r="B281" s="102" t="n"/>
      <c r="C281" s="94" t="n"/>
      <c r="D281" s="54" t="n"/>
      <c r="E281" s="54" t="n"/>
      <c r="F281" s="54" t="n"/>
      <c r="G281" s="54" t="n"/>
      <c r="H281" s="54" t="n"/>
      <c r="I281" s="54" t="n"/>
      <c r="J281" s="54" t="n"/>
      <c r="K281" s="54" t="n"/>
      <c r="L281" s="54" t="n"/>
      <c r="M281" s="54" t="n"/>
    </row>
    <row r="282" ht="15.75" customHeight="1" s="51">
      <c r="A282" s="102" t="n"/>
      <c r="B282" s="102" t="n"/>
      <c r="C282" s="94" t="n"/>
      <c r="D282" s="54" t="n"/>
      <c r="E282" s="54" t="n"/>
      <c r="F282" s="54" t="n"/>
      <c r="G282" s="54" t="n"/>
      <c r="H282" s="54" t="n"/>
      <c r="I282" s="54" t="n"/>
      <c r="J282" s="54" t="n"/>
      <c r="K282" s="54" t="n"/>
      <c r="L282" s="54" t="n"/>
      <c r="M282" s="54" t="n"/>
    </row>
    <row r="283" ht="15.75" customHeight="1" s="51">
      <c r="A283" s="102" t="n"/>
      <c r="B283" s="102" t="n"/>
      <c r="C283" s="94" t="n"/>
      <c r="D283" s="54" t="n"/>
      <c r="E283" s="54" t="n"/>
      <c r="F283" s="54" t="n"/>
      <c r="G283" s="54" t="n"/>
      <c r="H283" s="54" t="n"/>
      <c r="I283" s="54" t="n"/>
      <c r="J283" s="54" t="n"/>
      <c r="K283" s="54" t="n"/>
      <c r="L283" s="54" t="n"/>
      <c r="M283" s="54" t="n"/>
    </row>
    <row r="284" ht="15.75" customHeight="1" s="51">
      <c r="A284" s="102" t="n"/>
      <c r="B284" s="102" t="n"/>
      <c r="C284" s="94" t="n"/>
      <c r="D284" s="54" t="n"/>
      <c r="E284" s="54" t="n"/>
      <c r="F284" s="54" t="n"/>
      <c r="G284" s="54" t="n"/>
      <c r="H284" s="54" t="n"/>
      <c r="I284" s="54" t="n"/>
      <c r="J284" s="54" t="n"/>
      <c r="K284" s="54" t="n"/>
      <c r="L284" s="54" t="n"/>
      <c r="M284" s="54" t="n"/>
    </row>
    <row r="285" ht="15.75" customHeight="1" s="51">
      <c r="A285" s="102" t="n"/>
      <c r="B285" s="102" t="n"/>
      <c r="C285" s="94" t="n"/>
      <c r="D285" s="54" t="n"/>
      <c r="E285" s="54" t="n"/>
      <c r="F285" s="54" t="n"/>
      <c r="G285" s="54" t="n"/>
      <c r="H285" s="54" t="n"/>
      <c r="I285" s="54" t="n"/>
      <c r="J285" s="54" t="n"/>
      <c r="K285" s="54" t="n"/>
      <c r="L285" s="54" t="n"/>
      <c r="M285" s="54" t="n"/>
    </row>
    <row r="286" ht="15.75" customHeight="1" s="51">
      <c r="A286" s="102" t="n"/>
      <c r="B286" s="102" t="n"/>
      <c r="C286" s="94" t="n"/>
      <c r="D286" s="54" t="n"/>
      <c r="E286" s="54" t="n"/>
      <c r="F286" s="54" t="n"/>
      <c r="G286" s="54" t="n"/>
      <c r="H286" s="54" t="n"/>
      <c r="I286" s="54" t="n"/>
      <c r="J286" s="54" t="n"/>
      <c r="K286" s="54" t="n"/>
      <c r="L286" s="54" t="n"/>
      <c r="M286" s="54" t="n"/>
    </row>
    <row r="287" ht="15.75" customHeight="1" s="51">
      <c r="A287" s="102" t="n"/>
      <c r="B287" s="102" t="n"/>
      <c r="C287" s="94" t="n"/>
      <c r="D287" s="54" t="n"/>
      <c r="E287" s="54" t="n"/>
      <c r="F287" s="54" t="n"/>
      <c r="G287" s="54" t="n"/>
      <c r="H287" s="54" t="n"/>
      <c r="I287" s="54" t="n"/>
      <c r="J287" s="54" t="n"/>
      <c r="K287" s="54" t="n"/>
      <c r="L287" s="54" t="n"/>
      <c r="M287" s="54" t="n"/>
    </row>
    <row r="288" ht="15.75" customHeight="1" s="51">
      <c r="A288" s="102" t="n"/>
      <c r="B288" s="102" t="n"/>
      <c r="C288" s="94" t="n"/>
      <c r="D288" s="54" t="n"/>
      <c r="E288" s="54" t="n"/>
      <c r="F288" s="54" t="n"/>
      <c r="G288" s="54" t="n"/>
      <c r="H288" s="54" t="n"/>
      <c r="I288" s="54" t="n"/>
      <c r="J288" s="54" t="n"/>
      <c r="K288" s="54" t="n"/>
      <c r="L288" s="54" t="n"/>
      <c r="M288" s="54" t="n"/>
    </row>
    <row r="289" ht="15.75" customHeight="1" s="51">
      <c r="A289" s="102" t="n"/>
      <c r="B289" s="102" t="n"/>
      <c r="C289" s="94" t="n"/>
      <c r="D289" s="54" t="n"/>
      <c r="E289" s="54" t="n"/>
      <c r="F289" s="54" t="n"/>
      <c r="G289" s="54" t="n"/>
      <c r="H289" s="54" t="n"/>
      <c r="I289" s="54" t="n"/>
      <c r="J289" s="54" t="n"/>
      <c r="K289" s="54" t="n"/>
      <c r="L289" s="54" t="n"/>
      <c r="M289" s="54" t="n"/>
    </row>
    <row r="290" ht="15.75" customHeight="1" s="51">
      <c r="A290" s="102" t="n"/>
      <c r="B290" s="102" t="n"/>
      <c r="C290" s="94" t="n"/>
      <c r="D290" s="54" t="n"/>
      <c r="E290" s="54" t="n"/>
      <c r="F290" s="54" t="n"/>
      <c r="G290" s="54" t="n"/>
      <c r="H290" s="54" t="n"/>
      <c r="I290" s="54" t="n"/>
      <c r="J290" s="54" t="n"/>
      <c r="K290" s="54" t="n"/>
      <c r="L290" s="54" t="n"/>
      <c r="M290" s="54" t="n"/>
    </row>
    <row r="291" ht="15.75" customHeight="1" s="51">
      <c r="A291" s="102" t="n"/>
      <c r="B291" s="102" t="n"/>
      <c r="C291" s="94" t="n"/>
      <c r="D291" s="54" t="n"/>
      <c r="E291" s="54" t="n"/>
      <c r="F291" s="54" t="n"/>
      <c r="G291" s="54" t="n"/>
      <c r="H291" s="54" t="n"/>
      <c r="I291" s="54" t="n"/>
      <c r="J291" s="54" t="n"/>
      <c r="K291" s="54" t="n"/>
      <c r="L291" s="54" t="n"/>
      <c r="M291" s="54" t="n"/>
    </row>
    <row r="292" ht="15.75" customHeight="1" s="51">
      <c r="A292" s="102" t="n"/>
      <c r="B292" s="102" t="n"/>
      <c r="C292" s="94" t="n"/>
      <c r="D292" s="54" t="n"/>
      <c r="E292" s="54" t="n"/>
      <c r="F292" s="54" t="n"/>
      <c r="G292" s="54" t="n"/>
      <c r="H292" s="54" t="n"/>
      <c r="I292" s="54" t="n"/>
      <c r="J292" s="54" t="n"/>
      <c r="K292" s="54" t="n"/>
      <c r="L292" s="54" t="n"/>
      <c r="M292" s="54" t="n"/>
    </row>
    <row r="293" ht="15.75" customHeight="1" s="51">
      <c r="A293" s="102" t="n"/>
      <c r="B293" s="102" t="n"/>
      <c r="C293" s="94" t="n"/>
      <c r="D293" s="54" t="n"/>
      <c r="E293" s="54" t="n"/>
      <c r="F293" s="54" t="n"/>
      <c r="G293" s="54" t="n"/>
      <c r="H293" s="54" t="n"/>
      <c r="I293" s="54" t="n"/>
      <c r="J293" s="54" t="n"/>
      <c r="K293" s="54" t="n"/>
      <c r="L293" s="54" t="n"/>
      <c r="M293" s="54" t="n"/>
    </row>
    <row r="294" ht="15.75" customHeight="1" s="51">
      <c r="A294" s="102" t="n"/>
      <c r="B294" s="102" t="n"/>
      <c r="C294" s="94" t="n"/>
      <c r="D294" s="54" t="n"/>
      <c r="E294" s="54" t="n"/>
      <c r="F294" s="54" t="n"/>
      <c r="G294" s="54" t="n"/>
      <c r="H294" s="54" t="n"/>
      <c r="I294" s="54" t="n"/>
      <c r="J294" s="54" t="n"/>
      <c r="K294" s="54" t="n"/>
      <c r="L294" s="54" t="n"/>
      <c r="M294" s="54" t="n"/>
    </row>
    <row r="295" ht="15.75" customHeight="1" s="51">
      <c r="A295" s="102" t="n"/>
      <c r="B295" s="102" t="n"/>
      <c r="C295" s="94" t="n"/>
      <c r="D295" s="54" t="n"/>
      <c r="E295" s="54" t="n"/>
      <c r="F295" s="54" t="n"/>
      <c r="G295" s="54" t="n"/>
      <c r="H295" s="54" t="n"/>
      <c r="I295" s="54" t="n"/>
      <c r="J295" s="54" t="n"/>
      <c r="K295" s="54" t="n"/>
      <c r="L295" s="54" t="n"/>
      <c r="M295" s="54" t="n"/>
    </row>
    <row r="296" ht="15.75" customHeight="1" s="51">
      <c r="A296" s="102" t="n"/>
      <c r="B296" s="102" t="n"/>
      <c r="C296" s="94" t="n"/>
      <c r="D296" s="54" t="n"/>
      <c r="E296" s="54" t="n"/>
      <c r="F296" s="54" t="n"/>
      <c r="G296" s="54" t="n"/>
      <c r="H296" s="54" t="n"/>
      <c r="I296" s="54" t="n"/>
      <c r="J296" s="54" t="n"/>
      <c r="K296" s="54" t="n"/>
      <c r="L296" s="54" t="n"/>
      <c r="M296" s="54" t="n"/>
    </row>
    <row r="297" ht="15.75" customHeight="1" s="51">
      <c r="A297" s="102" t="n"/>
      <c r="B297" s="102" t="n"/>
      <c r="C297" s="94" t="n"/>
      <c r="D297" s="54" t="n"/>
      <c r="E297" s="54" t="n"/>
      <c r="F297" s="54" t="n"/>
      <c r="G297" s="54" t="n"/>
      <c r="H297" s="54" t="n"/>
      <c r="I297" s="54" t="n"/>
      <c r="J297" s="54" t="n"/>
      <c r="K297" s="54" t="n"/>
      <c r="L297" s="54" t="n"/>
      <c r="M297" s="54" t="n"/>
    </row>
    <row r="298" ht="15.75" customHeight="1" s="51">
      <c r="A298" s="102" t="n"/>
      <c r="B298" s="102" t="n"/>
      <c r="C298" s="94" t="n"/>
      <c r="D298" s="54" t="n"/>
      <c r="E298" s="54" t="n"/>
      <c r="F298" s="54" t="n"/>
      <c r="G298" s="54" t="n"/>
      <c r="H298" s="54" t="n"/>
      <c r="I298" s="54" t="n"/>
      <c r="J298" s="54" t="n"/>
      <c r="K298" s="54" t="n"/>
      <c r="L298" s="54" t="n"/>
      <c r="M298" s="54" t="n"/>
    </row>
    <row r="299" ht="15.75" customHeight="1" s="51">
      <c r="A299" s="102" t="n"/>
      <c r="B299" s="102" t="n"/>
      <c r="C299" s="94" t="n"/>
      <c r="D299" s="54" t="n"/>
      <c r="E299" s="54" t="n"/>
      <c r="F299" s="54" t="n"/>
      <c r="G299" s="54" t="n"/>
      <c r="H299" s="54" t="n"/>
      <c r="I299" s="54" t="n"/>
      <c r="J299" s="54" t="n"/>
      <c r="K299" s="54" t="n"/>
      <c r="L299" s="54" t="n"/>
      <c r="M299" s="54" t="n"/>
    </row>
    <row r="300" ht="15.75" customHeight="1" s="51">
      <c r="A300" s="102" t="n"/>
      <c r="B300" s="102" t="n"/>
      <c r="C300" s="94" t="n"/>
      <c r="D300" s="54" t="n"/>
      <c r="E300" s="54" t="n"/>
      <c r="F300" s="54" t="n"/>
      <c r="G300" s="54" t="n"/>
      <c r="H300" s="54" t="n"/>
      <c r="I300" s="54" t="n"/>
      <c r="J300" s="54" t="n"/>
      <c r="K300" s="54" t="n"/>
      <c r="L300" s="54" t="n"/>
      <c r="M300" s="54" t="n"/>
    </row>
    <row r="301" ht="15.75" customHeight="1" s="51">
      <c r="A301" s="102" t="n"/>
      <c r="B301" s="102" t="n"/>
      <c r="C301" s="94" t="n"/>
      <c r="D301" s="54" t="n"/>
      <c r="E301" s="54" t="n"/>
      <c r="F301" s="54" t="n"/>
      <c r="G301" s="54" t="n"/>
      <c r="H301" s="54" t="n"/>
      <c r="I301" s="54" t="n"/>
      <c r="J301" s="54" t="n"/>
      <c r="K301" s="54" t="n"/>
      <c r="L301" s="54" t="n"/>
      <c r="M301" s="54" t="n"/>
    </row>
    <row r="302" ht="15.75" customHeight="1" s="51">
      <c r="A302" s="102" t="n"/>
      <c r="B302" s="102" t="n"/>
      <c r="C302" s="94" t="n"/>
      <c r="D302" s="54" t="n"/>
      <c r="E302" s="54" t="n"/>
      <c r="F302" s="54" t="n"/>
      <c r="G302" s="54" t="n"/>
      <c r="H302" s="54" t="n"/>
      <c r="I302" s="54" t="n"/>
      <c r="J302" s="54" t="n"/>
      <c r="K302" s="54" t="n"/>
      <c r="L302" s="54" t="n"/>
      <c r="M302" s="54" t="n"/>
    </row>
    <row r="303" ht="15.75" customHeight="1" s="51">
      <c r="A303" s="102" t="n"/>
      <c r="B303" s="102" t="n"/>
      <c r="C303" s="94" t="n"/>
      <c r="D303" s="54" t="n"/>
      <c r="E303" s="54" t="n"/>
      <c r="F303" s="54" t="n"/>
      <c r="G303" s="54" t="n"/>
      <c r="H303" s="54" t="n"/>
      <c r="I303" s="54" t="n"/>
      <c r="J303" s="54" t="n"/>
      <c r="K303" s="54" t="n"/>
      <c r="L303" s="54" t="n"/>
      <c r="M303" s="54" t="n"/>
    </row>
    <row r="304" ht="15.75" customHeight="1" s="51">
      <c r="A304" s="102" t="n"/>
      <c r="B304" s="102" t="n"/>
      <c r="C304" s="94" t="n"/>
      <c r="D304" s="54" t="n"/>
      <c r="E304" s="54" t="n"/>
      <c r="F304" s="54" t="n"/>
      <c r="G304" s="54" t="n"/>
      <c r="H304" s="54" t="n"/>
      <c r="I304" s="54" t="n"/>
      <c r="J304" s="54" t="n"/>
      <c r="K304" s="54" t="n"/>
      <c r="L304" s="54" t="n"/>
      <c r="M304" s="54" t="n"/>
    </row>
    <row r="305" ht="15.75" customHeight="1" s="51">
      <c r="A305" s="102" t="n"/>
      <c r="B305" s="102" t="n"/>
      <c r="C305" s="94" t="n"/>
      <c r="D305" s="54" t="n"/>
      <c r="E305" s="54" t="n"/>
      <c r="F305" s="54" t="n"/>
      <c r="G305" s="54" t="n"/>
      <c r="H305" s="54" t="n"/>
      <c r="I305" s="54" t="n"/>
      <c r="J305" s="54" t="n"/>
      <c r="K305" s="54" t="n"/>
      <c r="L305" s="54" t="n"/>
      <c r="M305" s="54" t="n"/>
    </row>
    <row r="306" ht="15.75" customHeight="1" s="51">
      <c r="A306" s="102" t="n"/>
      <c r="B306" s="102" t="n"/>
      <c r="C306" s="94" t="n"/>
      <c r="D306" s="54" t="n"/>
      <c r="E306" s="54" t="n"/>
      <c r="F306" s="54" t="n"/>
      <c r="G306" s="54" t="n"/>
      <c r="H306" s="54" t="n"/>
      <c r="I306" s="54" t="n"/>
      <c r="J306" s="54" t="n"/>
      <c r="K306" s="54" t="n"/>
      <c r="L306" s="54" t="n"/>
      <c r="M306" s="54" t="n"/>
    </row>
    <row r="307" ht="15.75" customHeight="1" s="51">
      <c r="A307" s="102" t="n"/>
      <c r="B307" s="102" t="n"/>
      <c r="C307" s="94" t="n"/>
      <c r="D307" s="54" t="n"/>
      <c r="E307" s="54" t="n"/>
      <c r="F307" s="54" t="n"/>
      <c r="G307" s="54" t="n"/>
      <c r="H307" s="54" t="n"/>
      <c r="I307" s="54" t="n"/>
      <c r="J307" s="54" t="n"/>
      <c r="K307" s="54" t="n"/>
      <c r="L307" s="54" t="n"/>
      <c r="M307" s="54" t="n"/>
    </row>
    <row r="308" ht="15.75" customHeight="1" s="51">
      <c r="A308" s="102" t="n"/>
      <c r="B308" s="102" t="n"/>
      <c r="C308" s="94" t="n"/>
      <c r="D308" s="54" t="n"/>
      <c r="E308" s="54" t="n"/>
      <c r="F308" s="54" t="n"/>
      <c r="G308" s="54" t="n"/>
      <c r="H308" s="54" t="n"/>
      <c r="I308" s="54" t="n"/>
      <c r="J308" s="54" t="n"/>
      <c r="K308" s="54" t="n"/>
      <c r="L308" s="54" t="n"/>
      <c r="M308" s="54" t="n"/>
    </row>
    <row r="309" ht="15.75" customHeight="1" s="51">
      <c r="A309" s="102" t="n"/>
      <c r="B309" s="102" t="n"/>
      <c r="C309" s="94" t="n"/>
      <c r="D309" s="54" t="n"/>
      <c r="E309" s="54" t="n"/>
      <c r="F309" s="54" t="n"/>
      <c r="G309" s="54" t="n"/>
      <c r="H309" s="54" t="n"/>
      <c r="I309" s="54" t="n"/>
      <c r="J309" s="54" t="n"/>
      <c r="K309" s="54" t="n"/>
      <c r="L309" s="54" t="n"/>
      <c r="M309" s="54" t="n"/>
    </row>
    <row r="310" ht="15.75" customHeight="1" s="51">
      <c r="A310" s="102" t="n"/>
      <c r="B310" s="102" t="n"/>
      <c r="C310" s="94" t="n"/>
      <c r="D310" s="54" t="n"/>
      <c r="E310" s="54" t="n"/>
      <c r="F310" s="54" t="n"/>
      <c r="G310" s="54" t="n"/>
      <c r="H310" s="54" t="n"/>
      <c r="I310" s="54" t="n"/>
      <c r="J310" s="54" t="n"/>
      <c r="K310" s="54" t="n"/>
      <c r="L310" s="54" t="n"/>
      <c r="M310" s="54" t="n"/>
    </row>
    <row r="311" ht="15.75" customHeight="1" s="51">
      <c r="A311" s="102" t="n"/>
      <c r="B311" s="102" t="n"/>
      <c r="C311" s="94" t="n"/>
      <c r="D311" s="54" t="n"/>
      <c r="E311" s="54" t="n"/>
      <c r="F311" s="54" t="n"/>
      <c r="G311" s="54" t="n"/>
      <c r="H311" s="54" t="n"/>
      <c r="I311" s="54" t="n"/>
      <c r="J311" s="54" t="n"/>
      <c r="K311" s="54" t="n"/>
      <c r="L311" s="54" t="n"/>
      <c r="M311" s="54" t="n"/>
    </row>
    <row r="312" ht="15.75" customHeight="1" s="51">
      <c r="A312" s="102" t="n"/>
      <c r="B312" s="102" t="n"/>
      <c r="C312" s="94" t="n"/>
      <c r="D312" s="54" t="n"/>
      <c r="E312" s="54" t="n"/>
      <c r="F312" s="54" t="n"/>
      <c r="G312" s="54" t="n"/>
      <c r="H312" s="54" t="n"/>
      <c r="I312" s="54" t="n"/>
      <c r="J312" s="54" t="n"/>
      <c r="K312" s="54" t="n"/>
      <c r="L312" s="54" t="n"/>
      <c r="M312" s="54" t="n"/>
    </row>
    <row r="313" ht="15.75" customHeight="1" s="51">
      <c r="A313" s="102" t="n"/>
      <c r="B313" s="102" t="n"/>
      <c r="C313" s="94" t="n"/>
      <c r="D313" s="54" t="n"/>
      <c r="E313" s="54" t="n"/>
      <c r="F313" s="54" t="n"/>
      <c r="G313" s="54" t="n"/>
      <c r="H313" s="54" t="n"/>
      <c r="I313" s="54" t="n"/>
      <c r="J313" s="54" t="n"/>
      <c r="K313" s="54" t="n"/>
      <c r="L313" s="54" t="n"/>
      <c r="M313" s="54" t="n"/>
    </row>
    <row r="314" ht="15.75" customHeight="1" s="51">
      <c r="A314" s="102" t="n"/>
      <c r="B314" s="102" t="n"/>
      <c r="C314" s="94" t="n"/>
      <c r="D314" s="54" t="n"/>
      <c r="E314" s="54" t="n"/>
      <c r="F314" s="54" t="n"/>
      <c r="G314" s="54" t="n"/>
      <c r="H314" s="54" t="n"/>
      <c r="I314" s="54" t="n"/>
      <c r="J314" s="54" t="n"/>
      <c r="K314" s="54" t="n"/>
      <c r="L314" s="54" t="n"/>
      <c r="M314" s="54" t="n"/>
    </row>
    <row r="315" ht="15.75" customHeight="1" s="51">
      <c r="A315" s="102" t="n"/>
      <c r="B315" s="102" t="n"/>
      <c r="C315" s="94" t="n"/>
      <c r="D315" s="54" t="n"/>
      <c r="E315" s="54" t="n"/>
      <c r="F315" s="54" t="n"/>
      <c r="G315" s="54" t="n"/>
      <c r="H315" s="54" t="n"/>
      <c r="I315" s="54" t="n"/>
      <c r="J315" s="54" t="n"/>
      <c r="K315" s="54" t="n"/>
      <c r="L315" s="54" t="n"/>
      <c r="M315" s="54" t="n"/>
    </row>
    <row r="316" ht="15.75" customHeight="1" s="51">
      <c r="A316" s="102" t="n"/>
      <c r="B316" s="102" t="n"/>
      <c r="C316" s="94" t="n"/>
      <c r="D316" s="54" t="n"/>
      <c r="E316" s="54" t="n"/>
      <c r="F316" s="54" t="n"/>
      <c r="G316" s="54" t="n"/>
      <c r="H316" s="54" t="n"/>
      <c r="I316" s="54" t="n"/>
      <c r="J316" s="54" t="n"/>
      <c r="K316" s="54" t="n"/>
      <c r="L316" s="54" t="n"/>
      <c r="M316" s="54" t="n"/>
    </row>
    <row r="317" ht="15.75" customHeight="1" s="51">
      <c r="A317" s="102" t="n"/>
      <c r="B317" s="102" t="n"/>
      <c r="C317" s="94" t="n"/>
      <c r="D317" s="54" t="n"/>
      <c r="E317" s="54" t="n"/>
      <c r="F317" s="54" t="n"/>
      <c r="G317" s="54" t="n"/>
      <c r="H317" s="54" t="n"/>
      <c r="I317" s="54" t="n"/>
      <c r="J317" s="54" t="n"/>
      <c r="K317" s="54" t="n"/>
      <c r="L317" s="54" t="n"/>
      <c r="M317" s="54" t="n"/>
    </row>
    <row r="318" ht="15.75" customHeight="1" s="51">
      <c r="A318" s="102" t="n"/>
      <c r="B318" s="102" t="n"/>
      <c r="C318" s="94" t="n"/>
      <c r="D318" s="54" t="n"/>
      <c r="E318" s="54" t="n"/>
      <c r="F318" s="54" t="n"/>
      <c r="G318" s="54" t="n"/>
      <c r="H318" s="54" t="n"/>
      <c r="I318" s="54" t="n"/>
      <c r="J318" s="54" t="n"/>
      <c r="K318" s="54" t="n"/>
      <c r="L318" s="54" t="n"/>
      <c r="M318" s="54" t="n"/>
    </row>
    <row r="319" ht="15.75" customHeight="1" s="51">
      <c r="A319" s="102" t="n"/>
      <c r="B319" s="102" t="n"/>
      <c r="C319" s="94" t="n"/>
      <c r="D319" s="54" t="n"/>
      <c r="E319" s="54" t="n"/>
      <c r="F319" s="54" t="n"/>
      <c r="G319" s="54" t="n"/>
      <c r="H319" s="54" t="n"/>
      <c r="I319" s="54" t="n"/>
      <c r="J319" s="54" t="n"/>
      <c r="K319" s="54" t="n"/>
      <c r="L319" s="54" t="n"/>
      <c r="M319" s="54" t="n"/>
    </row>
    <row r="320" ht="15.75" customHeight="1" s="51">
      <c r="A320" s="102" t="n"/>
      <c r="B320" s="102" t="n"/>
      <c r="C320" s="94" t="n"/>
      <c r="D320" s="54" t="n"/>
      <c r="E320" s="54" t="n"/>
      <c r="F320" s="54" t="n"/>
      <c r="G320" s="54" t="n"/>
      <c r="H320" s="54" t="n"/>
      <c r="I320" s="54" t="n"/>
      <c r="J320" s="54" t="n"/>
      <c r="K320" s="54" t="n"/>
      <c r="L320" s="54" t="n"/>
      <c r="M320" s="54" t="n"/>
    </row>
    <row r="321" ht="15.75" customHeight="1" s="51">
      <c r="A321" s="102" t="n"/>
      <c r="B321" s="102" t="n"/>
      <c r="C321" s="94" t="n"/>
      <c r="D321" s="54" t="n"/>
      <c r="E321" s="54" t="n"/>
      <c r="F321" s="54" t="n"/>
      <c r="G321" s="54" t="n"/>
      <c r="H321" s="54" t="n"/>
      <c r="I321" s="54" t="n"/>
      <c r="J321" s="54" t="n"/>
      <c r="K321" s="54" t="n"/>
      <c r="L321" s="54" t="n"/>
      <c r="M321" s="54" t="n"/>
    </row>
    <row r="322" ht="15.75" customHeight="1" s="51">
      <c r="A322" s="102" t="n"/>
      <c r="B322" s="102" t="n"/>
      <c r="C322" s="94" t="n"/>
      <c r="D322" s="54" t="n"/>
      <c r="E322" s="54" t="n"/>
      <c r="F322" s="54" t="n"/>
      <c r="G322" s="54" t="n"/>
      <c r="H322" s="54" t="n"/>
      <c r="I322" s="54" t="n"/>
      <c r="J322" s="54" t="n"/>
      <c r="K322" s="54" t="n"/>
      <c r="L322" s="54" t="n"/>
      <c r="M322" s="54" t="n"/>
    </row>
    <row r="323" ht="15.75" customHeight="1" s="51">
      <c r="A323" s="102" t="n"/>
      <c r="B323" s="102" t="n"/>
      <c r="C323" s="94" t="n"/>
      <c r="D323" s="54" t="n"/>
      <c r="E323" s="54" t="n"/>
      <c r="F323" s="54" t="n"/>
      <c r="G323" s="54" t="n"/>
      <c r="H323" s="54" t="n"/>
      <c r="I323" s="54" t="n"/>
      <c r="J323" s="54" t="n"/>
      <c r="K323" s="54" t="n"/>
      <c r="L323" s="54" t="n"/>
      <c r="M323" s="54" t="n"/>
    </row>
    <row r="324" ht="15.75" customHeight="1" s="51">
      <c r="A324" s="102" t="n"/>
      <c r="B324" s="102" t="n"/>
      <c r="C324" s="94" t="n"/>
      <c r="D324" s="54" t="n"/>
      <c r="E324" s="54" t="n"/>
      <c r="F324" s="54" t="n"/>
      <c r="G324" s="54" t="n"/>
      <c r="H324" s="54" t="n"/>
      <c r="I324" s="54" t="n"/>
      <c r="J324" s="54" t="n"/>
      <c r="K324" s="54" t="n"/>
      <c r="L324" s="54" t="n"/>
      <c r="M324" s="54" t="n"/>
    </row>
    <row r="325" ht="15.75" customHeight="1" s="51">
      <c r="A325" s="102" t="n"/>
      <c r="B325" s="102" t="n"/>
      <c r="C325" s="94" t="n"/>
      <c r="D325" s="54" t="n"/>
      <c r="E325" s="54" t="n"/>
      <c r="F325" s="54" t="n"/>
      <c r="G325" s="54" t="n"/>
      <c r="H325" s="54" t="n"/>
      <c r="I325" s="54" t="n"/>
      <c r="J325" s="54" t="n"/>
      <c r="K325" s="54" t="n"/>
      <c r="L325" s="54" t="n"/>
      <c r="M325" s="54" t="n"/>
    </row>
    <row r="326" ht="15.75" customHeight="1" s="51">
      <c r="A326" s="102" t="n"/>
      <c r="B326" s="102" t="n"/>
      <c r="C326" s="94" t="n"/>
      <c r="D326" s="54" t="n"/>
      <c r="E326" s="54" t="n"/>
      <c r="F326" s="54" t="n"/>
      <c r="G326" s="54" t="n"/>
      <c r="H326" s="54" t="n"/>
      <c r="I326" s="54" t="n"/>
      <c r="J326" s="54" t="n"/>
      <c r="K326" s="54" t="n"/>
      <c r="L326" s="54" t="n"/>
      <c r="M326" s="54" t="n"/>
    </row>
    <row r="327" ht="15.75" customHeight="1" s="51">
      <c r="A327" s="102" t="n"/>
      <c r="B327" s="102" t="n"/>
      <c r="C327" s="94" t="n"/>
      <c r="D327" s="54" t="n"/>
      <c r="E327" s="54" t="n"/>
      <c r="F327" s="54" t="n"/>
      <c r="G327" s="54" t="n"/>
      <c r="H327" s="54" t="n"/>
      <c r="I327" s="54" t="n"/>
      <c r="J327" s="54" t="n"/>
      <c r="K327" s="54" t="n"/>
      <c r="L327" s="54" t="n"/>
      <c r="M327" s="54" t="n"/>
    </row>
    <row r="328" ht="15.75" customHeight="1" s="51">
      <c r="A328" s="102" t="n"/>
      <c r="B328" s="102" t="n"/>
      <c r="C328" s="94" t="n"/>
      <c r="D328" s="54" t="n"/>
      <c r="E328" s="54" t="n"/>
      <c r="F328" s="54" t="n"/>
      <c r="G328" s="54" t="n"/>
      <c r="H328" s="54" t="n"/>
      <c r="I328" s="54" t="n"/>
      <c r="J328" s="54" t="n"/>
      <c r="K328" s="54" t="n"/>
      <c r="L328" s="54" t="n"/>
      <c r="M328" s="54" t="n"/>
    </row>
    <row r="329" ht="15.75" customHeight="1" s="51">
      <c r="A329" s="102" t="n"/>
      <c r="B329" s="102" t="n"/>
      <c r="C329" s="94" t="n"/>
      <c r="D329" s="54" t="n"/>
      <c r="E329" s="54" t="n"/>
      <c r="F329" s="54" t="n"/>
      <c r="G329" s="54" t="n"/>
      <c r="H329" s="54" t="n"/>
      <c r="I329" s="54" t="n"/>
      <c r="J329" s="54" t="n"/>
      <c r="K329" s="54" t="n"/>
      <c r="L329" s="54" t="n"/>
      <c r="M329" s="54" t="n"/>
    </row>
    <row r="330" ht="15.75" customHeight="1" s="51">
      <c r="A330" s="102" t="n"/>
      <c r="B330" s="102" t="n"/>
      <c r="C330" s="94" t="n"/>
      <c r="D330" s="54" t="n"/>
      <c r="E330" s="54" t="n"/>
      <c r="F330" s="54" t="n"/>
      <c r="G330" s="54" t="n"/>
      <c r="H330" s="54" t="n"/>
      <c r="I330" s="54" t="n"/>
      <c r="J330" s="54" t="n"/>
      <c r="K330" s="54" t="n"/>
      <c r="L330" s="54" t="n"/>
      <c r="M330" s="54" t="n"/>
    </row>
    <row r="331" ht="15.75" customHeight="1" s="51">
      <c r="A331" s="102" t="n"/>
      <c r="B331" s="102" t="n"/>
      <c r="C331" s="94" t="n"/>
      <c r="D331" s="54" t="n"/>
      <c r="E331" s="54" t="n"/>
      <c r="F331" s="54" t="n"/>
      <c r="G331" s="54" t="n"/>
      <c r="H331" s="54" t="n"/>
      <c r="I331" s="54" t="n"/>
      <c r="J331" s="54" t="n"/>
      <c r="K331" s="54" t="n"/>
      <c r="L331" s="54" t="n"/>
      <c r="M331" s="54" t="n"/>
    </row>
    <row r="332" ht="15.75" customHeight="1" s="51">
      <c r="A332" s="102" t="n"/>
      <c r="B332" s="102" t="n"/>
      <c r="C332" s="94" t="n"/>
      <c r="D332" s="54" t="n"/>
      <c r="E332" s="54" t="n"/>
      <c r="F332" s="54" t="n"/>
      <c r="G332" s="54" t="n"/>
      <c r="H332" s="54" t="n"/>
      <c r="I332" s="54" t="n"/>
      <c r="J332" s="54" t="n"/>
      <c r="K332" s="54" t="n"/>
      <c r="L332" s="54" t="n"/>
      <c r="M332" s="54" t="n"/>
    </row>
    <row r="333" ht="15.75" customHeight="1" s="51">
      <c r="A333" s="102" t="n"/>
      <c r="B333" s="102" t="n"/>
      <c r="C333" s="94" t="n"/>
      <c r="D333" s="54" t="n"/>
      <c r="E333" s="54" t="n"/>
      <c r="F333" s="54" t="n"/>
      <c r="G333" s="54" t="n"/>
      <c r="H333" s="54" t="n"/>
      <c r="I333" s="54" t="n"/>
      <c r="J333" s="54" t="n"/>
      <c r="K333" s="54" t="n"/>
      <c r="L333" s="54" t="n"/>
      <c r="M333" s="54" t="n"/>
    </row>
    <row r="334" ht="15.75" customHeight="1" s="51">
      <c r="A334" s="102" t="n"/>
      <c r="B334" s="102" t="n"/>
      <c r="C334" s="94" t="n"/>
      <c r="D334" s="54" t="n"/>
      <c r="E334" s="54" t="n"/>
      <c r="F334" s="54" t="n"/>
      <c r="G334" s="54" t="n"/>
      <c r="H334" s="54" t="n"/>
      <c r="I334" s="54" t="n"/>
      <c r="J334" s="54" t="n"/>
      <c r="K334" s="54" t="n"/>
      <c r="L334" s="54" t="n"/>
      <c r="M334" s="54" t="n"/>
    </row>
    <row r="335" ht="15.75" customHeight="1" s="51">
      <c r="A335" s="102" t="n"/>
      <c r="B335" s="102" t="n"/>
      <c r="C335" s="94" t="n"/>
      <c r="D335" s="54" t="n"/>
      <c r="E335" s="54" t="n"/>
      <c r="F335" s="54" t="n"/>
      <c r="G335" s="54" t="n"/>
      <c r="H335" s="54" t="n"/>
      <c r="I335" s="54" t="n"/>
      <c r="J335" s="54" t="n"/>
      <c r="K335" s="54" t="n"/>
      <c r="L335" s="54" t="n"/>
      <c r="M335" s="54" t="n"/>
    </row>
    <row r="336" ht="15.75" customHeight="1" s="51">
      <c r="A336" s="102" t="n"/>
      <c r="B336" s="102" t="n"/>
      <c r="C336" s="94" t="n"/>
      <c r="D336" s="54" t="n"/>
      <c r="E336" s="54" t="n"/>
      <c r="F336" s="54" t="n"/>
      <c r="G336" s="54" t="n"/>
      <c r="H336" s="54" t="n"/>
      <c r="I336" s="54" t="n"/>
      <c r="J336" s="54" t="n"/>
      <c r="K336" s="54" t="n"/>
      <c r="L336" s="54" t="n"/>
      <c r="M336" s="54" t="n"/>
    </row>
    <row r="337" ht="15.75" customHeight="1" s="51">
      <c r="A337" s="102" t="n"/>
      <c r="B337" s="102" t="n"/>
      <c r="C337" s="94" t="n"/>
      <c r="D337" s="54" t="n"/>
      <c r="E337" s="54" t="n"/>
      <c r="F337" s="54" t="n"/>
      <c r="G337" s="54" t="n"/>
      <c r="H337" s="54" t="n"/>
      <c r="I337" s="54" t="n"/>
      <c r="J337" s="54" t="n"/>
      <c r="K337" s="54" t="n"/>
      <c r="L337" s="54" t="n"/>
      <c r="M337" s="54" t="n"/>
    </row>
    <row r="338" ht="15.75" customHeight="1" s="51">
      <c r="A338" s="102" t="n"/>
      <c r="B338" s="102" t="n"/>
      <c r="C338" s="94" t="n"/>
      <c r="D338" s="54" t="n"/>
      <c r="E338" s="54" t="n"/>
      <c r="F338" s="54" t="n"/>
      <c r="G338" s="54" t="n"/>
      <c r="H338" s="54" t="n"/>
      <c r="I338" s="54" t="n"/>
      <c r="J338" s="54" t="n"/>
      <c r="K338" s="54" t="n"/>
      <c r="L338" s="54" t="n"/>
      <c r="M338" s="54" t="n"/>
    </row>
    <row r="339" ht="15.75" customHeight="1" s="51">
      <c r="A339" s="102" t="n"/>
      <c r="B339" s="102" t="n"/>
      <c r="C339" s="94" t="n"/>
      <c r="D339" s="54" t="n"/>
      <c r="E339" s="54" t="n"/>
      <c r="F339" s="54" t="n"/>
      <c r="G339" s="54" t="n"/>
      <c r="H339" s="54" t="n"/>
      <c r="I339" s="54" t="n"/>
      <c r="J339" s="54" t="n"/>
      <c r="K339" s="54" t="n"/>
      <c r="L339" s="54" t="n"/>
      <c r="M339" s="54" t="n"/>
    </row>
    <row r="340" ht="15.75" customHeight="1" s="51">
      <c r="A340" s="102" t="n"/>
      <c r="B340" s="102" t="n"/>
      <c r="C340" s="94" t="n"/>
      <c r="D340" s="54" t="n"/>
      <c r="E340" s="54" t="n"/>
      <c r="F340" s="54" t="n"/>
      <c r="G340" s="54" t="n"/>
      <c r="H340" s="54" t="n"/>
      <c r="I340" s="54" t="n"/>
      <c r="J340" s="54" t="n"/>
      <c r="K340" s="54" t="n"/>
      <c r="L340" s="54" t="n"/>
      <c r="M340" s="54" t="n"/>
    </row>
    <row r="341" ht="15.75" customHeight="1" s="51">
      <c r="A341" s="102" t="n"/>
      <c r="B341" s="102" t="n"/>
      <c r="C341" s="94" t="n"/>
      <c r="D341" s="54" t="n"/>
      <c r="E341" s="54" t="n"/>
      <c r="F341" s="54" t="n"/>
      <c r="G341" s="54" t="n"/>
      <c r="H341" s="54" t="n"/>
      <c r="I341" s="54" t="n"/>
      <c r="J341" s="54" t="n"/>
      <c r="K341" s="54" t="n"/>
      <c r="L341" s="54" t="n"/>
      <c r="M341" s="54" t="n"/>
    </row>
    <row r="342" ht="15.75" customHeight="1" s="51">
      <c r="A342" s="102" t="n"/>
      <c r="B342" s="102" t="n"/>
      <c r="C342" s="94" t="n"/>
      <c r="D342" s="54" t="n"/>
      <c r="E342" s="54" t="n"/>
      <c r="F342" s="54" t="n"/>
      <c r="G342" s="54" t="n"/>
      <c r="H342" s="54" t="n"/>
      <c r="I342" s="54" t="n"/>
      <c r="J342" s="54" t="n"/>
      <c r="K342" s="54" t="n"/>
      <c r="L342" s="54" t="n"/>
      <c r="M342" s="54" t="n"/>
    </row>
    <row r="343" ht="15.75" customHeight="1" s="51">
      <c r="A343" s="102" t="n"/>
      <c r="B343" s="102" t="n"/>
      <c r="C343" s="94" t="n"/>
      <c r="D343" s="54" t="n"/>
      <c r="E343" s="54" t="n"/>
      <c r="F343" s="54" t="n"/>
      <c r="G343" s="54" t="n"/>
      <c r="H343" s="54" t="n"/>
      <c r="I343" s="54" t="n"/>
      <c r="J343" s="54" t="n"/>
      <c r="K343" s="54" t="n"/>
      <c r="L343" s="54" t="n"/>
      <c r="M343" s="54" t="n"/>
    </row>
    <row r="344" ht="15.75" customHeight="1" s="51">
      <c r="A344" s="102" t="n"/>
      <c r="B344" s="102" t="n"/>
      <c r="C344" s="94" t="n"/>
      <c r="D344" s="54" t="n"/>
      <c r="E344" s="54" t="n"/>
      <c r="F344" s="54" t="n"/>
      <c r="G344" s="54" t="n"/>
      <c r="H344" s="54" t="n"/>
      <c r="I344" s="54" t="n"/>
      <c r="J344" s="54" t="n"/>
      <c r="K344" s="54" t="n"/>
      <c r="L344" s="54" t="n"/>
      <c r="M344" s="54" t="n"/>
    </row>
    <row r="345" ht="15.75" customHeight="1" s="51">
      <c r="A345" s="102" t="n"/>
      <c r="B345" s="102" t="n"/>
      <c r="C345" s="94" t="n"/>
      <c r="D345" s="54" t="n"/>
      <c r="E345" s="54" t="n"/>
      <c r="F345" s="54" t="n"/>
      <c r="G345" s="54" t="n"/>
      <c r="H345" s="54" t="n"/>
      <c r="I345" s="54" t="n"/>
      <c r="J345" s="54" t="n"/>
      <c r="K345" s="54" t="n"/>
      <c r="L345" s="54" t="n"/>
      <c r="M345" s="54" t="n"/>
    </row>
    <row r="346" ht="15.75" customHeight="1" s="51">
      <c r="A346" s="102" t="n"/>
      <c r="B346" s="102" t="n"/>
      <c r="C346" s="94" t="n"/>
      <c r="D346" s="54" t="n"/>
      <c r="E346" s="54" t="n"/>
      <c r="F346" s="54" t="n"/>
      <c r="G346" s="54" t="n"/>
      <c r="H346" s="54" t="n"/>
      <c r="I346" s="54" t="n"/>
      <c r="J346" s="54" t="n"/>
      <c r="K346" s="54" t="n"/>
      <c r="L346" s="54" t="n"/>
      <c r="M346" s="54" t="n"/>
    </row>
    <row r="347" ht="15.75" customHeight="1" s="51">
      <c r="A347" s="102" t="n"/>
      <c r="B347" s="102" t="n"/>
      <c r="C347" s="94" t="n"/>
      <c r="D347" s="54" t="n"/>
      <c r="E347" s="54" t="n"/>
      <c r="F347" s="54" t="n"/>
      <c r="G347" s="54" t="n"/>
      <c r="H347" s="54" t="n"/>
      <c r="I347" s="54" t="n"/>
      <c r="J347" s="54" t="n"/>
      <c r="K347" s="54" t="n"/>
      <c r="L347" s="54" t="n"/>
      <c r="M347" s="54" t="n"/>
    </row>
    <row r="348" ht="15.75" customHeight="1" s="51">
      <c r="A348" s="102" t="n"/>
      <c r="B348" s="102" t="n"/>
      <c r="C348" s="94" t="n"/>
      <c r="D348" s="54" t="n"/>
      <c r="E348" s="54" t="n"/>
      <c r="F348" s="54" t="n"/>
      <c r="G348" s="54" t="n"/>
      <c r="H348" s="54" t="n"/>
      <c r="I348" s="54" t="n"/>
      <c r="J348" s="54" t="n"/>
      <c r="K348" s="54" t="n"/>
      <c r="L348" s="54" t="n"/>
      <c r="M348" s="54" t="n"/>
    </row>
    <row r="349" ht="15.75" customHeight="1" s="51">
      <c r="A349" s="102" t="n"/>
      <c r="B349" s="102" t="n"/>
      <c r="C349" s="94" t="n"/>
      <c r="D349" s="54" t="n"/>
      <c r="E349" s="54" t="n"/>
      <c r="F349" s="54" t="n"/>
      <c r="G349" s="54" t="n"/>
      <c r="H349" s="54" t="n"/>
      <c r="I349" s="54" t="n"/>
      <c r="J349" s="54" t="n"/>
      <c r="K349" s="54" t="n"/>
      <c r="L349" s="54" t="n"/>
      <c r="M349" s="54" t="n"/>
    </row>
    <row r="350" ht="15.75" customHeight="1" s="51">
      <c r="A350" s="102" t="n"/>
      <c r="B350" s="102" t="n"/>
      <c r="C350" s="94" t="n"/>
      <c r="D350" s="54" t="n"/>
      <c r="E350" s="54" t="n"/>
      <c r="F350" s="54" t="n"/>
      <c r="G350" s="54" t="n"/>
      <c r="H350" s="54" t="n"/>
      <c r="I350" s="54" t="n"/>
      <c r="J350" s="54" t="n"/>
      <c r="K350" s="54" t="n"/>
      <c r="L350" s="54" t="n"/>
      <c r="M350" s="54" t="n"/>
    </row>
    <row r="351" ht="15.75" customHeight="1" s="51">
      <c r="A351" s="102" t="n"/>
      <c r="B351" s="102" t="n"/>
      <c r="C351" s="94" t="n"/>
      <c r="D351" s="54" t="n"/>
      <c r="E351" s="54" t="n"/>
      <c r="F351" s="54" t="n"/>
      <c r="G351" s="54" t="n"/>
      <c r="H351" s="54" t="n"/>
      <c r="I351" s="54" t="n"/>
      <c r="J351" s="54" t="n"/>
      <c r="K351" s="54" t="n"/>
      <c r="L351" s="54" t="n"/>
      <c r="M351" s="54" t="n"/>
    </row>
    <row r="352" ht="15.75" customHeight="1" s="51">
      <c r="A352" s="102" t="n"/>
      <c r="B352" s="102" t="n"/>
      <c r="C352" s="94" t="n"/>
      <c r="D352" s="54" t="n"/>
      <c r="E352" s="54" t="n"/>
      <c r="F352" s="54" t="n"/>
      <c r="G352" s="54" t="n"/>
      <c r="H352" s="54" t="n"/>
      <c r="I352" s="54" t="n"/>
      <c r="J352" s="54" t="n"/>
      <c r="K352" s="54" t="n"/>
      <c r="L352" s="54" t="n"/>
      <c r="M352" s="54" t="n"/>
    </row>
    <row r="353" ht="15.75" customHeight="1" s="51">
      <c r="A353" s="102" t="n"/>
      <c r="B353" s="102" t="n"/>
      <c r="C353" s="94" t="n"/>
      <c r="D353" s="54" t="n"/>
      <c r="E353" s="54" t="n"/>
      <c r="F353" s="54" t="n"/>
      <c r="G353" s="54" t="n"/>
      <c r="H353" s="54" t="n"/>
      <c r="I353" s="54" t="n"/>
      <c r="J353" s="54" t="n"/>
      <c r="K353" s="54" t="n"/>
      <c r="L353" s="54" t="n"/>
      <c r="M353" s="54" t="n"/>
    </row>
    <row r="354" ht="15.75" customHeight="1" s="51">
      <c r="A354" s="102" t="n"/>
      <c r="B354" s="102" t="n"/>
      <c r="C354" s="94" t="n"/>
      <c r="D354" s="54" t="n"/>
      <c r="E354" s="54" t="n"/>
      <c r="F354" s="54" t="n"/>
      <c r="G354" s="54" t="n"/>
      <c r="H354" s="54" t="n"/>
      <c r="I354" s="54" t="n"/>
      <c r="J354" s="54" t="n"/>
      <c r="K354" s="54" t="n"/>
      <c r="L354" s="54" t="n"/>
      <c r="M354" s="54" t="n"/>
    </row>
    <row r="355" ht="15.75" customHeight="1" s="51">
      <c r="A355" s="102" t="n"/>
      <c r="B355" s="102" t="n"/>
      <c r="C355" s="94" t="n"/>
      <c r="D355" s="54" t="n"/>
      <c r="E355" s="54" t="n"/>
      <c r="F355" s="54" t="n"/>
      <c r="G355" s="54" t="n"/>
      <c r="H355" s="54" t="n"/>
      <c r="I355" s="54" t="n"/>
      <c r="J355" s="54" t="n"/>
      <c r="K355" s="54" t="n"/>
      <c r="L355" s="54" t="n"/>
      <c r="M355" s="54" t="n"/>
    </row>
    <row r="356" ht="15.75" customHeight="1" s="51">
      <c r="A356" s="102" t="n"/>
      <c r="B356" s="102" t="n"/>
      <c r="C356" s="94" t="n"/>
      <c r="D356" s="54" t="n"/>
      <c r="E356" s="54" t="n"/>
      <c r="F356" s="54" t="n"/>
      <c r="G356" s="54" t="n"/>
      <c r="H356" s="54" t="n"/>
      <c r="I356" s="54" t="n"/>
      <c r="J356" s="54" t="n"/>
      <c r="K356" s="54" t="n"/>
      <c r="L356" s="54" t="n"/>
      <c r="M356" s="54" t="n"/>
    </row>
    <row r="357" ht="15.75" customHeight="1" s="51">
      <c r="A357" s="102" t="n"/>
      <c r="B357" s="102" t="n"/>
      <c r="C357" s="94" t="n"/>
      <c r="D357" s="54" t="n"/>
      <c r="E357" s="54" t="n"/>
      <c r="F357" s="54" t="n"/>
      <c r="G357" s="54" t="n"/>
      <c r="H357" s="54" t="n"/>
      <c r="I357" s="54" t="n"/>
      <c r="J357" s="54" t="n"/>
      <c r="K357" s="54" t="n"/>
      <c r="L357" s="54" t="n"/>
      <c r="M357" s="54" t="n"/>
    </row>
    <row r="358" ht="15.75" customHeight="1" s="51">
      <c r="A358" s="102" t="n"/>
      <c r="B358" s="102" t="n"/>
      <c r="C358" s="94" t="n"/>
      <c r="D358" s="54" t="n"/>
      <c r="E358" s="54" t="n"/>
      <c r="F358" s="54" t="n"/>
      <c r="G358" s="54" t="n"/>
      <c r="H358" s="54" t="n"/>
      <c r="I358" s="54" t="n"/>
      <c r="J358" s="54" t="n"/>
      <c r="K358" s="54" t="n"/>
      <c r="L358" s="54" t="n"/>
      <c r="M358" s="54" t="n"/>
    </row>
    <row r="359" ht="15.75" customHeight="1" s="51">
      <c r="A359" s="102" t="n"/>
      <c r="B359" s="102" t="n"/>
      <c r="C359" s="94" t="n"/>
      <c r="D359" s="54" t="n"/>
      <c r="E359" s="54" t="n"/>
      <c r="F359" s="54" t="n"/>
      <c r="G359" s="54" t="n"/>
      <c r="H359" s="54" t="n"/>
      <c r="I359" s="54" t="n"/>
      <c r="J359" s="54" t="n"/>
      <c r="K359" s="54" t="n"/>
      <c r="L359" s="54" t="n"/>
      <c r="M359" s="54" t="n"/>
    </row>
    <row r="360" ht="15.75" customHeight="1" s="51">
      <c r="A360" s="102" t="n"/>
      <c r="B360" s="102" t="n"/>
      <c r="C360" s="94" t="n"/>
      <c r="D360" s="54" t="n"/>
      <c r="E360" s="54" t="n"/>
      <c r="F360" s="54" t="n"/>
      <c r="G360" s="54" t="n"/>
      <c r="H360" s="54" t="n"/>
      <c r="I360" s="54" t="n"/>
      <c r="J360" s="54" t="n"/>
      <c r="K360" s="54" t="n"/>
      <c r="L360" s="54" t="n"/>
      <c r="M360" s="54" t="n"/>
    </row>
    <row r="361" ht="15.75" customHeight="1" s="51">
      <c r="A361" s="102" t="n"/>
      <c r="B361" s="102" t="n"/>
      <c r="C361" s="94" t="n"/>
      <c r="D361" s="54" t="n"/>
      <c r="E361" s="54" t="n"/>
      <c r="F361" s="54" t="n"/>
      <c r="G361" s="54" t="n"/>
      <c r="H361" s="54" t="n"/>
      <c r="I361" s="54" t="n"/>
      <c r="J361" s="54" t="n"/>
      <c r="K361" s="54" t="n"/>
      <c r="L361" s="54" t="n"/>
      <c r="M361" s="54" t="n"/>
    </row>
    <row r="362" ht="15.75" customHeight="1" s="51">
      <c r="A362" s="102" t="n"/>
      <c r="B362" s="102" t="n"/>
      <c r="C362" s="94" t="n"/>
      <c r="D362" s="54" t="n"/>
      <c r="E362" s="54" t="n"/>
      <c r="F362" s="54" t="n"/>
      <c r="G362" s="54" t="n"/>
      <c r="H362" s="54" t="n"/>
      <c r="I362" s="54" t="n"/>
      <c r="J362" s="54" t="n"/>
      <c r="K362" s="54" t="n"/>
      <c r="L362" s="54" t="n"/>
      <c r="M362" s="54" t="n"/>
    </row>
    <row r="363" ht="15.75" customHeight="1" s="51">
      <c r="A363" s="102" t="n"/>
      <c r="B363" s="102" t="n"/>
      <c r="C363" s="94" t="n"/>
      <c r="D363" s="54" t="n"/>
      <c r="E363" s="54" t="n"/>
      <c r="F363" s="54" t="n"/>
      <c r="G363" s="54" t="n"/>
      <c r="H363" s="54" t="n"/>
      <c r="I363" s="54" t="n"/>
      <c r="J363" s="54" t="n"/>
      <c r="K363" s="54" t="n"/>
      <c r="L363" s="54" t="n"/>
      <c r="M363" s="54" t="n"/>
    </row>
    <row r="364" ht="15.75" customHeight="1" s="51">
      <c r="A364" s="102" t="n"/>
      <c r="B364" s="102" t="n"/>
      <c r="C364" s="94" t="n"/>
      <c r="D364" s="54" t="n"/>
      <c r="E364" s="54" t="n"/>
      <c r="F364" s="54" t="n"/>
      <c r="G364" s="54" t="n"/>
      <c r="H364" s="54" t="n"/>
      <c r="I364" s="54" t="n"/>
      <c r="J364" s="54" t="n"/>
      <c r="K364" s="54" t="n"/>
      <c r="L364" s="54" t="n"/>
      <c r="M364" s="54" t="n"/>
    </row>
    <row r="365" ht="15.75" customHeight="1" s="51">
      <c r="A365" s="102" t="n"/>
      <c r="B365" s="102" t="n"/>
      <c r="C365" s="94" t="n"/>
      <c r="D365" s="54" t="n"/>
      <c r="E365" s="54" t="n"/>
      <c r="F365" s="54" t="n"/>
      <c r="G365" s="54" t="n"/>
      <c r="H365" s="54" t="n"/>
      <c r="I365" s="54" t="n"/>
      <c r="J365" s="54" t="n"/>
      <c r="K365" s="54" t="n"/>
      <c r="L365" s="54" t="n"/>
      <c r="M365" s="54" t="n"/>
    </row>
    <row r="366" ht="15.75" customHeight="1" s="51">
      <c r="A366" s="102" t="n"/>
      <c r="B366" s="102" t="n"/>
      <c r="C366" s="94" t="n"/>
      <c r="D366" s="54" t="n"/>
      <c r="E366" s="54" t="n"/>
      <c r="F366" s="54" t="n"/>
      <c r="G366" s="54" t="n"/>
      <c r="H366" s="54" t="n"/>
      <c r="I366" s="54" t="n"/>
      <c r="J366" s="54" t="n"/>
      <c r="K366" s="54" t="n"/>
      <c r="L366" s="54" t="n"/>
      <c r="M366" s="54" t="n"/>
    </row>
    <row r="367" ht="15.75" customHeight="1" s="51">
      <c r="A367" s="102" t="n"/>
      <c r="B367" s="102" t="n"/>
      <c r="C367" s="94" t="n"/>
      <c r="D367" s="54" t="n"/>
      <c r="E367" s="54" t="n"/>
      <c r="F367" s="54" t="n"/>
      <c r="G367" s="54" t="n"/>
      <c r="H367" s="54" t="n"/>
      <c r="I367" s="54" t="n"/>
      <c r="J367" s="54" t="n"/>
      <c r="K367" s="54" t="n"/>
      <c r="L367" s="54" t="n"/>
      <c r="M367" s="54" t="n"/>
    </row>
    <row r="368" ht="15.75" customHeight="1" s="51">
      <c r="A368" s="102" t="n"/>
      <c r="B368" s="102" t="n"/>
      <c r="C368" s="94" t="n"/>
      <c r="D368" s="54" t="n"/>
      <c r="E368" s="54" t="n"/>
      <c r="F368" s="54" t="n"/>
      <c r="G368" s="54" t="n"/>
      <c r="H368" s="54" t="n"/>
      <c r="I368" s="54" t="n"/>
      <c r="J368" s="54" t="n"/>
      <c r="K368" s="54" t="n"/>
      <c r="L368" s="54" t="n"/>
      <c r="M368" s="54" t="n"/>
    </row>
    <row r="369" ht="15.75" customHeight="1" s="51">
      <c r="A369" s="102" t="n"/>
      <c r="B369" s="102" t="n"/>
      <c r="C369" s="94" t="n"/>
      <c r="D369" s="54" t="n"/>
      <c r="E369" s="54" t="n"/>
      <c r="F369" s="54" t="n"/>
      <c r="G369" s="54" t="n"/>
      <c r="H369" s="54" t="n"/>
      <c r="I369" s="54" t="n"/>
      <c r="J369" s="54" t="n"/>
      <c r="K369" s="54" t="n"/>
      <c r="L369" s="54" t="n"/>
      <c r="M369" s="54" t="n"/>
    </row>
    <row r="370" ht="15.75" customHeight="1" s="51">
      <c r="A370" s="102" t="n"/>
      <c r="B370" s="102" t="n"/>
      <c r="C370" s="94" t="n"/>
      <c r="D370" s="54" t="n"/>
      <c r="E370" s="54" t="n"/>
      <c r="F370" s="54" t="n"/>
      <c r="G370" s="54" t="n"/>
      <c r="H370" s="54" t="n"/>
      <c r="I370" s="54" t="n"/>
      <c r="J370" s="54" t="n"/>
      <c r="K370" s="54" t="n"/>
      <c r="L370" s="54" t="n"/>
      <c r="M370" s="54" t="n"/>
    </row>
    <row r="371" ht="15.75" customHeight="1" s="51">
      <c r="A371" s="102" t="n"/>
      <c r="B371" s="102" t="n"/>
      <c r="C371" s="94" t="n"/>
      <c r="D371" s="54" t="n"/>
      <c r="E371" s="54" t="n"/>
      <c r="F371" s="54" t="n"/>
      <c r="G371" s="54" t="n"/>
      <c r="H371" s="54" t="n"/>
      <c r="I371" s="54" t="n"/>
      <c r="J371" s="54" t="n"/>
      <c r="K371" s="54" t="n"/>
      <c r="L371" s="54" t="n"/>
      <c r="M371" s="54" t="n"/>
    </row>
    <row r="372" ht="15.75" customHeight="1" s="51">
      <c r="A372" s="102" t="n"/>
      <c r="B372" s="102" t="n"/>
      <c r="C372" s="94" t="n"/>
      <c r="D372" s="54" t="n"/>
      <c r="E372" s="54" t="n"/>
      <c r="F372" s="54" t="n"/>
      <c r="G372" s="54" t="n"/>
      <c r="H372" s="54" t="n"/>
      <c r="I372" s="54" t="n"/>
      <c r="J372" s="54" t="n"/>
      <c r="K372" s="54" t="n"/>
      <c r="L372" s="54" t="n"/>
      <c r="M372" s="54" t="n"/>
    </row>
    <row r="373" ht="15.75" customHeight="1" s="51">
      <c r="A373" s="102" t="n"/>
      <c r="B373" s="102" t="n"/>
      <c r="C373" s="94" t="n"/>
      <c r="D373" s="54" t="n"/>
      <c r="E373" s="54" t="n"/>
      <c r="F373" s="54" t="n"/>
      <c r="G373" s="54" t="n"/>
      <c r="H373" s="54" t="n"/>
      <c r="I373" s="54" t="n"/>
      <c r="J373" s="54" t="n"/>
      <c r="K373" s="54" t="n"/>
      <c r="L373" s="54" t="n"/>
      <c r="M373" s="54" t="n"/>
    </row>
    <row r="374" ht="15.75" customHeight="1" s="51">
      <c r="A374" s="102" t="n"/>
      <c r="B374" s="102" t="n"/>
      <c r="C374" s="94" t="n"/>
      <c r="D374" s="54" t="n"/>
      <c r="E374" s="54" t="n"/>
      <c r="F374" s="54" t="n"/>
      <c r="G374" s="54" t="n"/>
      <c r="H374" s="54" t="n"/>
      <c r="I374" s="54" t="n"/>
      <c r="J374" s="54" t="n"/>
      <c r="K374" s="54" t="n"/>
      <c r="L374" s="54" t="n"/>
      <c r="M374" s="54" t="n"/>
    </row>
    <row r="375" ht="15.75" customHeight="1" s="51">
      <c r="A375" s="102" t="n"/>
      <c r="B375" s="102" t="n"/>
      <c r="C375" s="94" t="n"/>
      <c r="D375" s="54" t="n"/>
      <c r="E375" s="54" t="n"/>
      <c r="F375" s="54" t="n"/>
      <c r="G375" s="54" t="n"/>
      <c r="H375" s="54" t="n"/>
      <c r="I375" s="54" t="n"/>
      <c r="J375" s="54" t="n"/>
      <c r="K375" s="54" t="n"/>
      <c r="L375" s="54" t="n"/>
      <c r="M375" s="54" t="n"/>
    </row>
    <row r="376" ht="15.75" customHeight="1" s="51">
      <c r="A376" s="102" t="n"/>
      <c r="B376" s="102" t="n"/>
      <c r="C376" s="94" t="n"/>
      <c r="D376" s="54" t="n"/>
      <c r="E376" s="54" t="n"/>
      <c r="F376" s="54" t="n"/>
      <c r="G376" s="54" t="n"/>
      <c r="H376" s="54" t="n"/>
      <c r="I376" s="54" t="n"/>
      <c r="J376" s="54" t="n"/>
      <c r="K376" s="54" t="n"/>
      <c r="L376" s="54" t="n"/>
      <c r="M376" s="54" t="n"/>
    </row>
    <row r="377" ht="15.75" customHeight="1" s="51">
      <c r="A377" s="102" t="n"/>
      <c r="B377" s="102" t="n"/>
      <c r="C377" s="94" t="n"/>
      <c r="D377" s="54" t="n"/>
      <c r="E377" s="54" t="n"/>
      <c r="F377" s="54" t="n"/>
      <c r="G377" s="54" t="n"/>
      <c r="H377" s="54" t="n"/>
      <c r="I377" s="54" t="n"/>
      <c r="J377" s="54" t="n"/>
      <c r="K377" s="54" t="n"/>
      <c r="L377" s="54" t="n"/>
      <c r="M377" s="54" t="n"/>
    </row>
    <row r="378" ht="15.75" customHeight="1" s="51">
      <c r="A378" s="102" t="n"/>
      <c r="B378" s="102" t="n"/>
      <c r="C378" s="94" t="n"/>
      <c r="D378" s="54" t="n"/>
      <c r="E378" s="54" t="n"/>
      <c r="F378" s="54" t="n"/>
      <c r="G378" s="54" t="n"/>
      <c r="H378" s="54" t="n"/>
      <c r="I378" s="54" t="n"/>
      <c r="J378" s="54" t="n"/>
      <c r="K378" s="54" t="n"/>
      <c r="L378" s="54" t="n"/>
      <c r="M378" s="54" t="n"/>
    </row>
    <row r="379" ht="15.75" customHeight="1" s="51">
      <c r="A379" s="102" t="n"/>
      <c r="B379" s="102" t="n"/>
      <c r="C379" s="94" t="n"/>
      <c r="D379" s="54" t="n"/>
      <c r="E379" s="54" t="n"/>
      <c r="F379" s="54" t="n"/>
      <c r="G379" s="54" t="n"/>
      <c r="H379" s="54" t="n"/>
      <c r="I379" s="54" t="n"/>
      <c r="J379" s="54" t="n"/>
      <c r="K379" s="54" t="n"/>
      <c r="L379" s="54" t="n"/>
      <c r="M379" s="54" t="n"/>
    </row>
    <row r="380" ht="15.75" customHeight="1" s="51">
      <c r="A380" s="102" t="n"/>
      <c r="B380" s="102" t="n"/>
      <c r="C380" s="94" t="n"/>
      <c r="D380" s="54" t="n"/>
      <c r="E380" s="54" t="n"/>
      <c r="F380" s="54" t="n"/>
      <c r="G380" s="54" t="n"/>
      <c r="H380" s="54" t="n"/>
      <c r="I380" s="54" t="n"/>
      <c r="J380" s="54" t="n"/>
      <c r="K380" s="54" t="n"/>
      <c r="L380" s="54" t="n"/>
      <c r="M380" s="54" t="n"/>
    </row>
    <row r="381" ht="15.75" customHeight="1" s="51">
      <c r="A381" s="102" t="n"/>
      <c r="B381" s="102" t="n"/>
      <c r="C381" s="94" t="n"/>
      <c r="D381" s="54" t="n"/>
      <c r="E381" s="54" t="n"/>
      <c r="F381" s="54" t="n"/>
      <c r="G381" s="54" t="n"/>
      <c r="H381" s="54" t="n"/>
      <c r="I381" s="54" t="n"/>
      <c r="J381" s="54" t="n"/>
      <c r="K381" s="54" t="n"/>
      <c r="L381" s="54" t="n"/>
      <c r="M381" s="54" t="n"/>
    </row>
    <row r="382" ht="15.75" customHeight="1" s="51">
      <c r="A382" s="102" t="n"/>
      <c r="B382" s="102" t="n"/>
      <c r="C382" s="94" t="n"/>
      <c r="D382" s="54" t="n"/>
      <c r="E382" s="54" t="n"/>
      <c r="F382" s="54" t="n"/>
      <c r="G382" s="54" t="n"/>
      <c r="H382" s="54" t="n"/>
      <c r="I382" s="54" t="n"/>
      <c r="J382" s="54" t="n"/>
      <c r="K382" s="54" t="n"/>
      <c r="L382" s="54" t="n"/>
      <c r="M382" s="54" t="n"/>
    </row>
    <row r="383" ht="15.75" customHeight="1" s="51">
      <c r="A383" s="102" t="n"/>
      <c r="B383" s="102" t="n"/>
      <c r="C383" s="94" t="n"/>
      <c r="D383" s="54" t="n"/>
      <c r="E383" s="54" t="n"/>
      <c r="F383" s="54" t="n"/>
      <c r="G383" s="54" t="n"/>
      <c r="H383" s="54" t="n"/>
      <c r="I383" s="54" t="n"/>
      <c r="J383" s="54" t="n"/>
      <c r="K383" s="54" t="n"/>
      <c r="L383" s="54" t="n"/>
      <c r="M383" s="54" t="n"/>
    </row>
    <row r="384" ht="15.75" customHeight="1" s="51">
      <c r="A384" s="102" t="n"/>
      <c r="B384" s="102" t="n"/>
      <c r="C384" s="94" t="n"/>
      <c r="D384" s="54" t="n"/>
      <c r="E384" s="54" t="n"/>
      <c r="F384" s="54" t="n"/>
      <c r="G384" s="54" t="n"/>
      <c r="H384" s="54" t="n"/>
      <c r="I384" s="54" t="n"/>
      <c r="J384" s="54" t="n"/>
      <c r="K384" s="54" t="n"/>
      <c r="L384" s="54" t="n"/>
      <c r="M384" s="54" t="n"/>
    </row>
    <row r="385" ht="15.75" customHeight="1" s="51">
      <c r="A385" s="102" t="n"/>
      <c r="B385" s="102" t="n"/>
      <c r="C385" s="94" t="n"/>
      <c r="D385" s="54" t="n"/>
      <c r="E385" s="54" t="n"/>
      <c r="F385" s="54" t="n"/>
      <c r="G385" s="54" t="n"/>
      <c r="H385" s="54" t="n"/>
      <c r="I385" s="54" t="n"/>
      <c r="J385" s="54" t="n"/>
      <c r="K385" s="54" t="n"/>
      <c r="L385" s="54" t="n"/>
      <c r="M385" s="54" t="n"/>
    </row>
    <row r="386" ht="15.75" customHeight="1" s="51">
      <c r="A386" s="102" t="n"/>
      <c r="B386" s="102" t="n"/>
      <c r="C386" s="94" t="n"/>
      <c r="D386" s="54" t="n"/>
      <c r="E386" s="54" t="n"/>
      <c r="F386" s="54" t="n"/>
      <c r="G386" s="54" t="n"/>
      <c r="H386" s="54" t="n"/>
      <c r="I386" s="54" t="n"/>
      <c r="J386" s="54" t="n"/>
      <c r="K386" s="54" t="n"/>
      <c r="L386" s="54" t="n"/>
      <c r="M386" s="54" t="n"/>
    </row>
    <row r="387" ht="15.75" customHeight="1" s="51">
      <c r="A387" s="102" t="n"/>
      <c r="B387" s="102" t="n"/>
      <c r="C387" s="94" t="n"/>
      <c r="D387" s="54" t="n"/>
      <c r="E387" s="54" t="n"/>
      <c r="F387" s="54" t="n"/>
      <c r="G387" s="54" t="n"/>
      <c r="H387" s="54" t="n"/>
      <c r="I387" s="54" t="n"/>
      <c r="J387" s="54" t="n"/>
      <c r="K387" s="54" t="n"/>
      <c r="L387" s="54" t="n"/>
      <c r="M387" s="54" t="n"/>
    </row>
    <row r="388" ht="15.75" customHeight="1" s="51">
      <c r="A388" s="102" t="n"/>
      <c r="B388" s="102" t="n"/>
      <c r="C388" s="94" t="n"/>
      <c r="D388" s="54" t="n"/>
      <c r="E388" s="54" t="n"/>
      <c r="F388" s="54" t="n"/>
      <c r="G388" s="54" t="n"/>
      <c r="H388" s="54" t="n"/>
      <c r="I388" s="54" t="n"/>
      <c r="J388" s="54" t="n"/>
      <c r="K388" s="54" t="n"/>
      <c r="L388" s="54" t="n"/>
      <c r="M388" s="54" t="n"/>
    </row>
    <row r="389" ht="15.75" customHeight="1" s="51">
      <c r="A389" s="102" t="n"/>
      <c r="B389" s="102" t="n"/>
      <c r="C389" s="94" t="n"/>
      <c r="D389" s="54" t="n"/>
      <c r="E389" s="54" t="n"/>
      <c r="F389" s="54" t="n"/>
      <c r="G389" s="54" t="n"/>
      <c r="H389" s="54" t="n"/>
      <c r="I389" s="54" t="n"/>
      <c r="J389" s="54" t="n"/>
      <c r="K389" s="54" t="n"/>
      <c r="L389" s="54" t="n"/>
      <c r="M389" s="54" t="n"/>
    </row>
    <row r="390" ht="15.75" customHeight="1" s="51">
      <c r="A390" s="102" t="n"/>
      <c r="B390" s="102" t="n"/>
      <c r="C390" s="94" t="n"/>
      <c r="D390" s="54" t="n"/>
      <c r="E390" s="54" t="n"/>
      <c r="F390" s="54" t="n"/>
      <c r="G390" s="54" t="n"/>
      <c r="H390" s="54" t="n"/>
      <c r="I390" s="54" t="n"/>
      <c r="J390" s="54" t="n"/>
      <c r="K390" s="54" t="n"/>
      <c r="L390" s="54" t="n"/>
      <c r="M390" s="54" t="n"/>
    </row>
    <row r="391" ht="15.75" customHeight="1" s="51">
      <c r="A391" s="102" t="n"/>
      <c r="B391" s="102" t="n"/>
      <c r="C391" s="94" t="n"/>
      <c r="D391" s="54" t="n"/>
      <c r="E391" s="54" t="n"/>
      <c r="F391" s="54" t="n"/>
      <c r="G391" s="54" t="n"/>
      <c r="H391" s="54" t="n"/>
      <c r="I391" s="54" t="n"/>
      <c r="J391" s="54" t="n"/>
      <c r="K391" s="54" t="n"/>
      <c r="L391" s="54" t="n"/>
      <c r="M391" s="54" t="n"/>
    </row>
    <row r="392" ht="15.75" customHeight="1" s="51">
      <c r="A392" s="102" t="n"/>
      <c r="B392" s="102" t="n"/>
      <c r="C392" s="94" t="n"/>
      <c r="D392" s="54" t="n"/>
      <c r="E392" s="54" t="n"/>
      <c r="F392" s="54" t="n"/>
      <c r="G392" s="54" t="n"/>
      <c r="H392" s="54" t="n"/>
      <c r="I392" s="54" t="n"/>
      <c r="J392" s="54" t="n"/>
      <c r="K392" s="54" t="n"/>
      <c r="L392" s="54" t="n"/>
      <c r="M392" s="54" t="n"/>
    </row>
    <row r="393" ht="15.75" customHeight="1" s="51">
      <c r="A393" s="102" t="n"/>
      <c r="B393" s="102" t="n"/>
      <c r="C393" s="94" t="n"/>
      <c r="D393" s="54" t="n"/>
      <c r="E393" s="54" t="n"/>
      <c r="F393" s="54" t="n"/>
      <c r="G393" s="54" t="n"/>
      <c r="H393" s="54" t="n"/>
      <c r="I393" s="54" t="n"/>
      <c r="J393" s="54" t="n"/>
      <c r="K393" s="54" t="n"/>
      <c r="L393" s="54" t="n"/>
      <c r="M393" s="54" t="n"/>
    </row>
    <row r="394" ht="15.75" customHeight="1" s="51">
      <c r="A394" s="102" t="n"/>
      <c r="B394" s="102" t="n"/>
      <c r="C394" s="94" t="n"/>
      <c r="D394" s="54" t="n"/>
      <c r="E394" s="54" t="n"/>
      <c r="F394" s="54" t="n"/>
      <c r="G394" s="54" t="n"/>
      <c r="H394" s="54" t="n"/>
      <c r="I394" s="54" t="n"/>
      <c r="J394" s="54" t="n"/>
      <c r="K394" s="54" t="n"/>
      <c r="L394" s="54" t="n"/>
      <c r="M394" s="54" t="n"/>
    </row>
    <row r="395" ht="15.75" customHeight="1" s="51">
      <c r="A395" s="102" t="n"/>
      <c r="B395" s="102" t="n"/>
      <c r="C395" s="94" t="n"/>
      <c r="D395" s="54" t="n"/>
      <c r="E395" s="54" t="n"/>
      <c r="F395" s="54" t="n"/>
      <c r="G395" s="54" t="n"/>
      <c r="H395" s="54" t="n"/>
      <c r="I395" s="54" t="n"/>
      <c r="J395" s="54" t="n"/>
      <c r="K395" s="54" t="n"/>
      <c r="L395" s="54" t="n"/>
      <c r="M395" s="54" t="n"/>
    </row>
    <row r="396" ht="15.75" customHeight="1" s="51">
      <c r="A396" s="102" t="n"/>
      <c r="B396" s="102" t="n"/>
      <c r="C396" s="94" t="n"/>
      <c r="D396" s="54" t="n"/>
      <c r="E396" s="54" t="n"/>
      <c r="F396" s="54" t="n"/>
      <c r="G396" s="54" t="n"/>
      <c r="H396" s="54" t="n"/>
      <c r="I396" s="54" t="n"/>
      <c r="J396" s="54" t="n"/>
      <c r="K396" s="54" t="n"/>
      <c r="L396" s="54" t="n"/>
      <c r="M396" s="54" t="n"/>
    </row>
    <row r="397" ht="15.75" customHeight="1" s="51">
      <c r="A397" s="102" t="n"/>
      <c r="B397" s="102" t="n"/>
      <c r="C397" s="94" t="n"/>
      <c r="D397" s="54" t="n"/>
      <c r="E397" s="54" t="n"/>
      <c r="F397" s="54" t="n"/>
      <c r="G397" s="54" t="n"/>
      <c r="H397" s="54" t="n"/>
      <c r="I397" s="54" t="n"/>
      <c r="J397" s="54" t="n"/>
      <c r="K397" s="54" t="n"/>
      <c r="L397" s="54" t="n"/>
      <c r="M397" s="54" t="n"/>
    </row>
    <row r="398" ht="15.75" customHeight="1" s="51">
      <c r="A398" s="102" t="n"/>
      <c r="B398" s="102" t="n"/>
      <c r="C398" s="94" t="n"/>
      <c r="D398" s="54" t="n"/>
      <c r="E398" s="54" t="n"/>
      <c r="F398" s="54" t="n"/>
      <c r="G398" s="54" t="n"/>
      <c r="H398" s="54" t="n"/>
      <c r="I398" s="54" t="n"/>
      <c r="J398" s="54" t="n"/>
      <c r="K398" s="54" t="n"/>
      <c r="L398" s="54" t="n"/>
      <c r="M398" s="54" t="n"/>
    </row>
    <row r="399" ht="15.75" customHeight="1" s="51">
      <c r="A399" s="102" t="n"/>
      <c r="B399" s="102" t="n"/>
      <c r="C399" s="94" t="n"/>
      <c r="D399" s="54" t="n"/>
      <c r="E399" s="54" t="n"/>
      <c r="F399" s="54" t="n"/>
      <c r="G399" s="54" t="n"/>
      <c r="H399" s="54" t="n"/>
      <c r="I399" s="54" t="n"/>
      <c r="J399" s="54" t="n"/>
      <c r="K399" s="54" t="n"/>
      <c r="L399" s="54" t="n"/>
      <c r="M399" s="54" t="n"/>
    </row>
    <row r="400" ht="15.75" customHeight="1" s="51">
      <c r="A400" s="102" t="n"/>
      <c r="B400" s="102" t="n"/>
      <c r="C400" s="94" t="n"/>
      <c r="D400" s="54" t="n"/>
      <c r="E400" s="54" t="n"/>
      <c r="F400" s="54" t="n"/>
      <c r="G400" s="54" t="n"/>
      <c r="H400" s="54" t="n"/>
      <c r="I400" s="54" t="n"/>
      <c r="J400" s="54" t="n"/>
      <c r="K400" s="54" t="n"/>
      <c r="L400" s="54" t="n"/>
      <c r="M400" s="54" t="n"/>
    </row>
    <row r="401" ht="15.75" customHeight="1" s="51">
      <c r="A401" s="102" t="n"/>
      <c r="B401" s="102" t="n"/>
      <c r="C401" s="94" t="n"/>
      <c r="D401" s="54" t="n"/>
      <c r="E401" s="54" t="n"/>
      <c r="F401" s="54" t="n"/>
      <c r="G401" s="54" t="n"/>
      <c r="H401" s="54" t="n"/>
      <c r="I401" s="54" t="n"/>
      <c r="J401" s="54" t="n"/>
      <c r="K401" s="54" t="n"/>
      <c r="L401" s="54" t="n"/>
      <c r="M401" s="54" t="n"/>
    </row>
    <row r="402" ht="15.75" customHeight="1" s="51">
      <c r="A402" s="102" t="n"/>
      <c r="B402" s="102" t="n"/>
      <c r="C402" s="94" t="n"/>
      <c r="D402" s="54" t="n"/>
      <c r="E402" s="54" t="n"/>
      <c r="F402" s="54" t="n"/>
      <c r="G402" s="54" t="n"/>
      <c r="H402" s="54" t="n"/>
      <c r="I402" s="54" t="n"/>
      <c r="J402" s="54" t="n"/>
      <c r="K402" s="54" t="n"/>
      <c r="L402" s="54" t="n"/>
      <c r="M402" s="54" t="n"/>
    </row>
    <row r="403" ht="15.75" customHeight="1" s="51">
      <c r="A403" s="102" t="n"/>
      <c r="B403" s="102" t="n"/>
      <c r="C403" s="94" t="n"/>
      <c r="D403" s="54" t="n"/>
      <c r="E403" s="54" t="n"/>
      <c r="F403" s="54" t="n"/>
      <c r="G403" s="54" t="n"/>
      <c r="H403" s="54" t="n"/>
      <c r="I403" s="54" t="n"/>
      <c r="J403" s="54" t="n"/>
      <c r="K403" s="54" t="n"/>
      <c r="L403" s="54" t="n"/>
      <c r="M403" s="54" t="n"/>
    </row>
    <row r="404" ht="15.75" customHeight="1" s="51">
      <c r="A404" s="102" t="n"/>
      <c r="B404" s="102" t="n"/>
      <c r="C404" s="94" t="n"/>
      <c r="D404" s="54" t="n"/>
      <c r="E404" s="54" t="n"/>
      <c r="F404" s="54" t="n"/>
      <c r="G404" s="54" t="n"/>
      <c r="H404" s="54" t="n"/>
      <c r="I404" s="54" t="n"/>
      <c r="J404" s="54" t="n"/>
      <c r="K404" s="54" t="n"/>
      <c r="L404" s="54" t="n"/>
      <c r="M404" s="54" t="n"/>
    </row>
    <row r="405" ht="15.75" customHeight="1" s="51">
      <c r="A405" s="102" t="n"/>
      <c r="B405" s="102" t="n"/>
      <c r="C405" s="94" t="n"/>
      <c r="D405" s="54" t="n"/>
      <c r="E405" s="54" t="n"/>
      <c r="F405" s="54" t="n"/>
      <c r="G405" s="54" t="n"/>
      <c r="H405" s="54" t="n"/>
      <c r="I405" s="54" t="n"/>
      <c r="J405" s="54" t="n"/>
      <c r="K405" s="54" t="n"/>
      <c r="L405" s="54" t="n"/>
      <c r="M405" s="54" t="n"/>
    </row>
    <row r="406" ht="15.75" customHeight="1" s="51">
      <c r="A406" s="102" t="n"/>
      <c r="B406" s="102" t="n"/>
      <c r="C406" s="94" t="n"/>
      <c r="D406" s="54" t="n"/>
      <c r="E406" s="54" t="n"/>
      <c r="F406" s="54" t="n"/>
      <c r="G406" s="54" t="n"/>
      <c r="H406" s="54" t="n"/>
      <c r="I406" s="54" t="n"/>
      <c r="J406" s="54" t="n"/>
      <c r="K406" s="54" t="n"/>
      <c r="L406" s="54" t="n"/>
      <c r="M406" s="54" t="n"/>
    </row>
    <row r="407" ht="15.75" customHeight="1" s="51">
      <c r="A407" s="102" t="n"/>
      <c r="B407" s="102" t="n"/>
      <c r="C407" s="94" t="n"/>
      <c r="D407" s="54" t="n"/>
      <c r="E407" s="54" t="n"/>
      <c r="F407" s="54" t="n"/>
      <c r="G407" s="54" t="n"/>
      <c r="H407" s="54" t="n"/>
      <c r="I407" s="54" t="n"/>
      <c r="J407" s="54" t="n"/>
      <c r="K407" s="54" t="n"/>
      <c r="L407" s="54" t="n"/>
      <c r="M407" s="54" t="n"/>
    </row>
    <row r="408" ht="15.75" customHeight="1" s="51">
      <c r="A408" s="102" t="n"/>
      <c r="B408" s="102" t="n"/>
      <c r="C408" s="94" t="n"/>
      <c r="D408" s="54" t="n"/>
      <c r="E408" s="54" t="n"/>
      <c r="F408" s="54" t="n"/>
      <c r="G408" s="54" t="n"/>
      <c r="H408" s="54" t="n"/>
      <c r="I408" s="54" t="n"/>
      <c r="J408" s="54" t="n"/>
      <c r="K408" s="54" t="n"/>
      <c r="L408" s="54" t="n"/>
      <c r="M408" s="54" t="n"/>
    </row>
    <row r="409" ht="15.75" customHeight="1" s="51">
      <c r="A409" s="102" t="n"/>
      <c r="B409" s="102" t="n"/>
      <c r="C409" s="94" t="n"/>
      <c r="D409" s="54" t="n"/>
      <c r="E409" s="54" t="n"/>
      <c r="F409" s="54" t="n"/>
      <c r="G409" s="54" t="n"/>
      <c r="H409" s="54" t="n"/>
      <c r="I409" s="54" t="n"/>
      <c r="J409" s="54" t="n"/>
      <c r="K409" s="54" t="n"/>
      <c r="L409" s="54" t="n"/>
      <c r="M409" s="54" t="n"/>
    </row>
    <row r="410" ht="15.75" customHeight="1" s="51">
      <c r="A410" s="102" t="n"/>
      <c r="B410" s="102" t="n"/>
      <c r="C410" s="94" t="n"/>
      <c r="D410" s="54" t="n"/>
      <c r="E410" s="54" t="n"/>
      <c r="F410" s="54" t="n"/>
      <c r="G410" s="54" t="n"/>
      <c r="H410" s="54" t="n"/>
      <c r="I410" s="54" t="n"/>
      <c r="J410" s="54" t="n"/>
      <c r="K410" s="54" t="n"/>
      <c r="L410" s="54" t="n"/>
      <c r="M410" s="54" t="n"/>
    </row>
    <row r="411" ht="15.75" customHeight="1" s="51">
      <c r="A411" s="102" t="n"/>
      <c r="B411" s="102" t="n"/>
      <c r="C411" s="94" t="n"/>
      <c r="D411" s="54" t="n"/>
      <c r="E411" s="54" t="n"/>
      <c r="F411" s="54" t="n"/>
      <c r="G411" s="54" t="n"/>
      <c r="H411" s="54" t="n"/>
      <c r="I411" s="54" t="n"/>
      <c r="J411" s="54" t="n"/>
      <c r="K411" s="54" t="n"/>
      <c r="L411" s="54" t="n"/>
      <c r="M411" s="54" t="n"/>
    </row>
    <row r="412" ht="15.75" customHeight="1" s="51">
      <c r="A412" s="102" t="n"/>
      <c r="B412" s="102" t="n"/>
      <c r="C412" s="94" t="n"/>
      <c r="D412" s="54" t="n"/>
      <c r="E412" s="54" t="n"/>
      <c r="F412" s="54" t="n"/>
      <c r="G412" s="54" t="n"/>
      <c r="H412" s="54" t="n"/>
      <c r="I412" s="54" t="n"/>
      <c r="J412" s="54" t="n"/>
      <c r="K412" s="54" t="n"/>
      <c r="L412" s="54" t="n"/>
      <c r="M412" s="54" t="n"/>
    </row>
    <row r="413" ht="15.75" customHeight="1" s="51">
      <c r="A413" s="102" t="n"/>
      <c r="B413" s="102" t="n"/>
      <c r="C413" s="94" t="n"/>
      <c r="D413" s="54" t="n"/>
      <c r="E413" s="54" t="n"/>
      <c r="F413" s="54" t="n"/>
      <c r="G413" s="54" t="n"/>
      <c r="H413" s="54" t="n"/>
      <c r="I413" s="54" t="n"/>
      <c r="J413" s="54" t="n"/>
      <c r="K413" s="54" t="n"/>
      <c r="L413" s="54" t="n"/>
      <c r="M413" s="54" t="n"/>
    </row>
    <row r="414" ht="15.75" customHeight="1" s="51">
      <c r="A414" s="102" t="n"/>
      <c r="B414" s="102" t="n"/>
      <c r="C414" s="94" t="n"/>
      <c r="D414" s="54" t="n"/>
      <c r="E414" s="54" t="n"/>
      <c r="F414" s="54" t="n"/>
      <c r="G414" s="54" t="n"/>
      <c r="H414" s="54" t="n"/>
      <c r="I414" s="54" t="n"/>
      <c r="J414" s="54" t="n"/>
      <c r="K414" s="54" t="n"/>
      <c r="L414" s="54" t="n"/>
      <c r="M414" s="54" t="n"/>
    </row>
    <row r="415" ht="15.75" customHeight="1" s="51">
      <c r="A415" s="102" t="n"/>
      <c r="B415" s="102" t="n"/>
      <c r="C415" s="94" t="n"/>
      <c r="D415" s="54" t="n"/>
      <c r="E415" s="54" t="n"/>
      <c r="F415" s="54" t="n"/>
      <c r="G415" s="54" t="n"/>
      <c r="H415" s="54" t="n"/>
      <c r="I415" s="54" t="n"/>
      <c r="J415" s="54" t="n"/>
      <c r="K415" s="54" t="n"/>
      <c r="L415" s="54" t="n"/>
      <c r="M415" s="54" t="n"/>
    </row>
    <row r="416" ht="15.75" customHeight="1" s="51">
      <c r="A416" s="102" t="n"/>
      <c r="B416" s="102" t="n"/>
      <c r="C416" s="94" t="n"/>
      <c r="D416" s="54" t="n"/>
      <c r="E416" s="54" t="n"/>
      <c r="F416" s="54" t="n"/>
      <c r="G416" s="54" t="n"/>
      <c r="H416" s="54" t="n"/>
      <c r="I416" s="54" t="n"/>
      <c r="J416" s="54" t="n"/>
      <c r="K416" s="54" t="n"/>
      <c r="L416" s="54" t="n"/>
      <c r="M416" s="54" t="n"/>
    </row>
    <row r="417" ht="15.75" customHeight="1" s="51">
      <c r="A417" s="102" t="n"/>
      <c r="B417" s="102" t="n"/>
      <c r="C417" s="94" t="n"/>
      <c r="D417" s="54" t="n"/>
      <c r="E417" s="54" t="n"/>
      <c r="F417" s="54" t="n"/>
      <c r="G417" s="54" t="n"/>
      <c r="H417" s="54" t="n"/>
      <c r="I417" s="54" t="n"/>
      <c r="J417" s="54" t="n"/>
      <c r="K417" s="54" t="n"/>
      <c r="L417" s="54" t="n"/>
      <c r="M417" s="54" t="n"/>
    </row>
    <row r="418" ht="15.75" customHeight="1" s="51">
      <c r="A418" s="102" t="n"/>
      <c r="B418" s="102" t="n"/>
      <c r="C418" s="94" t="n"/>
      <c r="D418" s="54" t="n"/>
      <c r="E418" s="54" t="n"/>
      <c r="F418" s="54" t="n"/>
      <c r="G418" s="54" t="n"/>
      <c r="H418" s="54" t="n"/>
      <c r="I418" s="54" t="n"/>
      <c r="J418" s="54" t="n"/>
      <c r="K418" s="54" t="n"/>
      <c r="L418" s="54" t="n"/>
      <c r="M418" s="54" t="n"/>
    </row>
    <row r="419" ht="15.75" customHeight="1" s="51">
      <c r="A419" s="102" t="n"/>
      <c r="B419" s="102" t="n"/>
      <c r="C419" s="94" t="n"/>
      <c r="D419" s="54" t="n"/>
      <c r="E419" s="54" t="n"/>
      <c r="F419" s="54" t="n"/>
      <c r="G419" s="54" t="n"/>
      <c r="H419" s="54" t="n"/>
      <c r="I419" s="54" t="n"/>
      <c r="J419" s="54" t="n"/>
      <c r="K419" s="54" t="n"/>
      <c r="L419" s="54" t="n"/>
      <c r="M419" s="54" t="n"/>
    </row>
    <row r="420" ht="15.75" customHeight="1" s="51">
      <c r="A420" s="102" t="n"/>
      <c r="B420" s="102" t="n"/>
      <c r="C420" s="94" t="n"/>
      <c r="D420" s="54" t="n"/>
      <c r="E420" s="54" t="n"/>
      <c r="F420" s="54" t="n"/>
      <c r="G420" s="54" t="n"/>
      <c r="H420" s="54" t="n"/>
      <c r="I420" s="54" t="n"/>
      <c r="J420" s="54" t="n"/>
      <c r="K420" s="54" t="n"/>
      <c r="L420" s="54" t="n"/>
      <c r="M420" s="54" t="n"/>
    </row>
    <row r="421" ht="15.75" customHeight="1" s="51">
      <c r="A421" s="102" t="n"/>
      <c r="B421" s="102" t="n"/>
      <c r="C421" s="94" t="n"/>
      <c r="D421" s="54" t="n"/>
      <c r="E421" s="54" t="n"/>
      <c r="F421" s="54" t="n"/>
      <c r="G421" s="54" t="n"/>
      <c r="H421" s="54" t="n"/>
      <c r="I421" s="54" t="n"/>
      <c r="J421" s="54" t="n"/>
      <c r="K421" s="54" t="n"/>
      <c r="L421" s="54" t="n"/>
      <c r="M421" s="54" t="n"/>
    </row>
    <row r="422" ht="15.75" customHeight="1" s="51">
      <c r="A422" s="102" t="n"/>
      <c r="B422" s="102" t="n"/>
      <c r="C422" s="94" t="n"/>
      <c r="D422" s="54" t="n"/>
      <c r="E422" s="54" t="n"/>
      <c r="F422" s="54" t="n"/>
      <c r="G422" s="54" t="n"/>
      <c r="H422" s="54" t="n"/>
      <c r="I422" s="54" t="n"/>
      <c r="J422" s="54" t="n"/>
      <c r="K422" s="54" t="n"/>
      <c r="L422" s="54" t="n"/>
      <c r="M422" s="54" t="n"/>
    </row>
    <row r="423" ht="15.75" customHeight="1" s="51">
      <c r="A423" s="102" t="n"/>
      <c r="B423" s="102" t="n"/>
      <c r="C423" s="94" t="n"/>
      <c r="D423" s="54" t="n"/>
      <c r="E423" s="54" t="n"/>
      <c r="F423" s="54" t="n"/>
      <c r="G423" s="54" t="n"/>
      <c r="H423" s="54" t="n"/>
      <c r="I423" s="54" t="n"/>
      <c r="J423" s="54" t="n"/>
      <c r="K423" s="54" t="n"/>
      <c r="L423" s="54" t="n"/>
      <c r="M423" s="54" t="n"/>
    </row>
    <row r="424" ht="15.75" customHeight="1" s="51">
      <c r="A424" s="102" t="n"/>
      <c r="B424" s="102" t="n"/>
      <c r="C424" s="94" t="n"/>
      <c r="D424" s="54" t="n"/>
      <c r="E424" s="54" t="n"/>
      <c r="F424" s="54" t="n"/>
      <c r="G424" s="54" t="n"/>
      <c r="H424" s="54" t="n"/>
      <c r="I424" s="54" t="n"/>
      <c r="J424" s="54" t="n"/>
      <c r="K424" s="54" t="n"/>
      <c r="L424" s="54" t="n"/>
      <c r="M424" s="54" t="n"/>
    </row>
    <row r="425" ht="15.75" customHeight="1" s="51">
      <c r="A425" s="102" t="n"/>
      <c r="B425" s="102" t="n"/>
      <c r="C425" s="94" t="n"/>
      <c r="D425" s="54" t="n"/>
      <c r="E425" s="54" t="n"/>
      <c r="F425" s="54" t="n"/>
      <c r="G425" s="54" t="n"/>
      <c r="H425" s="54" t="n"/>
      <c r="I425" s="54" t="n"/>
      <c r="J425" s="54" t="n"/>
      <c r="K425" s="54" t="n"/>
      <c r="L425" s="54" t="n"/>
      <c r="M425" s="54" t="n"/>
    </row>
    <row r="426" ht="15.75" customHeight="1" s="51">
      <c r="A426" s="102" t="n"/>
      <c r="B426" s="102" t="n"/>
      <c r="C426" s="94" t="n"/>
      <c r="D426" s="54" t="n"/>
      <c r="E426" s="54" t="n"/>
      <c r="F426" s="54" t="n"/>
      <c r="G426" s="54" t="n"/>
      <c r="H426" s="54" t="n"/>
      <c r="I426" s="54" t="n"/>
      <c r="J426" s="54" t="n"/>
      <c r="K426" s="54" t="n"/>
      <c r="L426" s="54" t="n"/>
      <c r="M426" s="54" t="n"/>
    </row>
    <row r="427" ht="15.75" customHeight="1" s="51">
      <c r="A427" s="102" t="n"/>
      <c r="B427" s="102" t="n"/>
      <c r="C427" s="94" t="n"/>
      <c r="D427" s="54" t="n"/>
      <c r="E427" s="54" t="n"/>
      <c r="F427" s="54" t="n"/>
      <c r="G427" s="54" t="n"/>
      <c r="H427" s="54" t="n"/>
      <c r="I427" s="54" t="n"/>
      <c r="J427" s="54" t="n"/>
      <c r="K427" s="54" t="n"/>
      <c r="L427" s="54" t="n"/>
      <c r="M427" s="54" t="n"/>
    </row>
    <row r="428" ht="15.75" customHeight="1" s="51">
      <c r="A428" s="102" t="n"/>
      <c r="B428" s="102" t="n"/>
      <c r="C428" s="94" t="n"/>
      <c r="D428" s="54" t="n"/>
      <c r="E428" s="54" t="n"/>
      <c r="F428" s="54" t="n"/>
      <c r="G428" s="54" t="n"/>
      <c r="H428" s="54" t="n"/>
      <c r="I428" s="54" t="n"/>
      <c r="J428" s="54" t="n"/>
      <c r="K428" s="54" t="n"/>
      <c r="L428" s="54" t="n"/>
      <c r="M428" s="54" t="n"/>
    </row>
    <row r="429" ht="15.75" customHeight="1" s="51">
      <c r="A429" s="102" t="n"/>
      <c r="B429" s="102" t="n"/>
      <c r="C429" s="94" t="n"/>
      <c r="D429" s="54" t="n"/>
      <c r="E429" s="54" t="n"/>
      <c r="F429" s="54" t="n"/>
      <c r="G429" s="54" t="n"/>
      <c r="H429" s="54" t="n"/>
      <c r="I429" s="54" t="n"/>
      <c r="J429" s="54" t="n"/>
      <c r="K429" s="54" t="n"/>
      <c r="L429" s="54" t="n"/>
      <c r="M429" s="54" t="n"/>
    </row>
    <row r="430" ht="15.75" customHeight="1" s="51">
      <c r="A430" s="102" t="n"/>
      <c r="B430" s="102" t="n"/>
      <c r="C430" s="94" t="n"/>
      <c r="D430" s="54" t="n"/>
      <c r="E430" s="54" t="n"/>
      <c r="F430" s="54" t="n"/>
      <c r="G430" s="54" t="n"/>
      <c r="H430" s="54" t="n"/>
      <c r="I430" s="54" t="n"/>
      <c r="J430" s="54" t="n"/>
      <c r="K430" s="54" t="n"/>
      <c r="L430" s="54" t="n"/>
      <c r="M430" s="54" t="n"/>
    </row>
    <row r="431" ht="15.75" customHeight="1" s="51">
      <c r="A431" s="102" t="n"/>
      <c r="B431" s="102" t="n"/>
      <c r="C431" s="94" t="n"/>
      <c r="D431" s="54" t="n"/>
      <c r="E431" s="54" t="n"/>
      <c r="F431" s="54" t="n"/>
      <c r="G431" s="54" t="n"/>
      <c r="H431" s="54" t="n"/>
      <c r="I431" s="54" t="n"/>
      <c r="J431" s="54" t="n"/>
      <c r="K431" s="54" t="n"/>
      <c r="L431" s="54" t="n"/>
      <c r="M431" s="54" t="n"/>
    </row>
    <row r="432" ht="15.75" customHeight="1" s="51">
      <c r="A432" s="102" t="n"/>
      <c r="B432" s="102" t="n"/>
      <c r="C432" s="94" t="n"/>
      <c r="D432" s="54" t="n"/>
      <c r="E432" s="54" t="n"/>
      <c r="F432" s="54" t="n"/>
      <c r="G432" s="54" t="n"/>
      <c r="H432" s="54" t="n"/>
      <c r="I432" s="54" t="n"/>
      <c r="J432" s="54" t="n"/>
      <c r="K432" s="54" t="n"/>
      <c r="L432" s="54" t="n"/>
      <c r="M432" s="54" t="n"/>
    </row>
    <row r="433" ht="15.75" customHeight="1" s="51">
      <c r="A433" s="102" t="n"/>
      <c r="B433" s="102" t="n"/>
      <c r="C433" s="94" t="n"/>
      <c r="D433" s="54" t="n"/>
      <c r="E433" s="54" t="n"/>
      <c r="F433" s="54" t="n"/>
      <c r="G433" s="54" t="n"/>
      <c r="H433" s="54" t="n"/>
      <c r="I433" s="54" t="n"/>
      <c r="J433" s="54" t="n"/>
      <c r="K433" s="54" t="n"/>
      <c r="L433" s="54" t="n"/>
      <c r="M433" s="54" t="n"/>
    </row>
    <row r="434" ht="15.75" customHeight="1" s="51">
      <c r="A434" s="102" t="n"/>
      <c r="B434" s="102" t="n"/>
      <c r="C434" s="94" t="n"/>
      <c r="D434" s="54" t="n"/>
      <c r="E434" s="54" t="n"/>
      <c r="F434" s="54" t="n"/>
      <c r="G434" s="54" t="n"/>
      <c r="H434" s="54" t="n"/>
      <c r="I434" s="54" t="n"/>
      <c r="J434" s="54" t="n"/>
      <c r="K434" s="54" t="n"/>
      <c r="L434" s="54" t="n"/>
      <c r="M434" s="54" t="n"/>
    </row>
    <row r="435" ht="15.75" customHeight="1" s="51">
      <c r="A435" s="102" t="n"/>
      <c r="B435" s="102" t="n"/>
      <c r="C435" s="94" t="n"/>
      <c r="D435" s="54" t="n"/>
      <c r="E435" s="54" t="n"/>
      <c r="F435" s="54" t="n"/>
      <c r="G435" s="54" t="n"/>
      <c r="H435" s="54" t="n"/>
      <c r="I435" s="54" t="n"/>
      <c r="J435" s="54" t="n"/>
      <c r="K435" s="54" t="n"/>
      <c r="L435" s="54" t="n"/>
      <c r="M435" s="54" t="n"/>
    </row>
    <row r="436" ht="15.75" customHeight="1" s="51">
      <c r="A436" s="102" t="n"/>
      <c r="B436" s="102" t="n"/>
      <c r="C436" s="94" t="n"/>
      <c r="D436" s="54" t="n"/>
      <c r="E436" s="54" t="n"/>
      <c r="F436" s="54" t="n"/>
      <c r="G436" s="54" t="n"/>
      <c r="H436" s="54" t="n"/>
      <c r="I436" s="54" t="n"/>
      <c r="J436" s="54" t="n"/>
      <c r="K436" s="54" t="n"/>
      <c r="L436" s="54" t="n"/>
      <c r="M436" s="54" t="n"/>
    </row>
    <row r="437" ht="15.75" customHeight="1" s="51">
      <c r="A437" s="102" t="n"/>
      <c r="B437" s="102" t="n"/>
      <c r="C437" s="94" t="n"/>
      <c r="D437" s="54" t="n"/>
      <c r="E437" s="54" t="n"/>
      <c r="F437" s="54" t="n"/>
      <c r="G437" s="54" t="n"/>
      <c r="H437" s="54" t="n"/>
      <c r="I437" s="54" t="n"/>
      <c r="J437" s="54" t="n"/>
      <c r="K437" s="54" t="n"/>
      <c r="L437" s="54" t="n"/>
      <c r="M437" s="54" t="n"/>
    </row>
    <row r="438" ht="15.75" customHeight="1" s="51">
      <c r="A438" s="102" t="n"/>
      <c r="B438" s="102" t="n"/>
      <c r="C438" s="94" t="n"/>
      <c r="D438" s="54" t="n"/>
      <c r="E438" s="54" t="n"/>
      <c r="F438" s="54" t="n"/>
      <c r="G438" s="54" t="n"/>
      <c r="H438" s="54" t="n"/>
      <c r="I438" s="54" t="n"/>
      <c r="J438" s="54" t="n"/>
      <c r="K438" s="54" t="n"/>
      <c r="L438" s="54" t="n"/>
      <c r="M438" s="54" t="n"/>
    </row>
    <row r="439" ht="15.75" customHeight="1" s="51">
      <c r="A439" s="102" t="n"/>
      <c r="B439" s="102" t="n"/>
      <c r="C439" s="94" t="n"/>
      <c r="D439" s="54" t="n"/>
      <c r="E439" s="54" t="n"/>
      <c r="F439" s="54" t="n"/>
      <c r="G439" s="54" t="n"/>
      <c r="H439" s="54" t="n"/>
      <c r="I439" s="54" t="n"/>
      <c r="J439" s="54" t="n"/>
      <c r="K439" s="54" t="n"/>
      <c r="L439" s="54" t="n"/>
      <c r="M439" s="54" t="n"/>
    </row>
    <row r="440" ht="15.75" customHeight="1" s="51">
      <c r="A440" s="102" t="n"/>
      <c r="B440" s="102" t="n"/>
      <c r="C440" s="94" t="n"/>
      <c r="D440" s="54" t="n"/>
      <c r="E440" s="54" t="n"/>
      <c r="F440" s="54" t="n"/>
      <c r="G440" s="54" t="n"/>
      <c r="H440" s="54" t="n"/>
      <c r="I440" s="54" t="n"/>
      <c r="J440" s="54" t="n"/>
      <c r="K440" s="54" t="n"/>
      <c r="L440" s="54" t="n"/>
      <c r="M440" s="54" t="n"/>
    </row>
    <row r="441" ht="15.75" customHeight="1" s="51">
      <c r="A441" s="102" t="n"/>
      <c r="B441" s="102" t="n"/>
      <c r="C441" s="94" t="n"/>
      <c r="D441" s="54" t="n"/>
      <c r="E441" s="54" t="n"/>
      <c r="F441" s="54" t="n"/>
      <c r="G441" s="54" t="n"/>
      <c r="H441" s="54" t="n"/>
      <c r="I441" s="54" t="n"/>
      <c r="J441" s="54" t="n"/>
      <c r="K441" s="54" t="n"/>
      <c r="L441" s="54" t="n"/>
      <c r="M441" s="54" t="n"/>
    </row>
    <row r="442" ht="15.75" customHeight="1" s="51">
      <c r="A442" s="102" t="n"/>
      <c r="B442" s="102" t="n"/>
      <c r="C442" s="94" t="n"/>
      <c r="D442" s="54" t="n"/>
      <c r="E442" s="54" t="n"/>
      <c r="F442" s="54" t="n"/>
      <c r="G442" s="54" t="n"/>
      <c r="H442" s="54" t="n"/>
      <c r="I442" s="54" t="n"/>
      <c r="J442" s="54" t="n"/>
      <c r="K442" s="54" t="n"/>
      <c r="L442" s="54" t="n"/>
      <c r="M442" s="54" t="n"/>
    </row>
    <row r="443" ht="15.75" customHeight="1" s="51">
      <c r="A443" s="102" t="n"/>
      <c r="B443" s="102" t="n"/>
      <c r="C443" s="94" t="n"/>
      <c r="D443" s="54" t="n"/>
      <c r="E443" s="54" t="n"/>
      <c r="F443" s="54" t="n"/>
      <c r="G443" s="54" t="n"/>
      <c r="H443" s="54" t="n"/>
      <c r="I443" s="54" t="n"/>
      <c r="J443" s="54" t="n"/>
      <c r="K443" s="54" t="n"/>
      <c r="L443" s="54" t="n"/>
      <c r="M443" s="54" t="n"/>
    </row>
    <row r="444" ht="15.75" customHeight="1" s="51">
      <c r="A444" s="102" t="n"/>
      <c r="B444" s="102" t="n"/>
      <c r="C444" s="94" t="n"/>
      <c r="D444" s="54" t="n"/>
      <c r="E444" s="54" t="n"/>
      <c r="F444" s="54" t="n"/>
      <c r="G444" s="54" t="n"/>
      <c r="H444" s="54" t="n"/>
      <c r="I444" s="54" t="n"/>
      <c r="J444" s="54" t="n"/>
      <c r="K444" s="54" t="n"/>
      <c r="L444" s="54" t="n"/>
      <c r="M444" s="54" t="n"/>
    </row>
    <row r="445" ht="15.75" customHeight="1" s="51">
      <c r="A445" s="102" t="n"/>
      <c r="B445" s="102" t="n"/>
      <c r="C445" s="94" t="n"/>
      <c r="D445" s="54" t="n"/>
      <c r="E445" s="54" t="n"/>
      <c r="F445" s="54" t="n"/>
      <c r="G445" s="54" t="n"/>
      <c r="H445" s="54" t="n"/>
      <c r="I445" s="54" t="n"/>
      <c r="J445" s="54" t="n"/>
      <c r="K445" s="54" t="n"/>
      <c r="L445" s="54" t="n"/>
      <c r="M445" s="54" t="n"/>
    </row>
    <row r="446" ht="15.75" customHeight="1" s="51">
      <c r="A446" s="102" t="n"/>
      <c r="B446" s="102" t="n"/>
      <c r="C446" s="94" t="n"/>
      <c r="D446" s="54" t="n"/>
      <c r="E446" s="54" t="n"/>
      <c r="F446" s="54" t="n"/>
      <c r="G446" s="54" t="n"/>
      <c r="H446" s="54" t="n"/>
      <c r="I446" s="54" t="n"/>
      <c r="J446" s="54" t="n"/>
      <c r="K446" s="54" t="n"/>
      <c r="L446" s="54" t="n"/>
      <c r="M446" s="54" t="n"/>
    </row>
    <row r="447" ht="15.75" customHeight="1" s="51">
      <c r="A447" s="102" t="n"/>
      <c r="B447" s="102" t="n"/>
      <c r="C447" s="94" t="n"/>
      <c r="D447" s="54" t="n"/>
      <c r="E447" s="54" t="n"/>
      <c r="F447" s="54" t="n"/>
      <c r="G447" s="54" t="n"/>
      <c r="H447" s="54" t="n"/>
      <c r="I447" s="54" t="n"/>
      <c r="J447" s="54" t="n"/>
      <c r="K447" s="54" t="n"/>
      <c r="L447" s="54" t="n"/>
      <c r="M447" s="54" t="n"/>
    </row>
    <row r="448" ht="15.75" customHeight="1" s="51">
      <c r="A448" s="102" t="n"/>
      <c r="B448" s="102" t="n"/>
      <c r="C448" s="94" t="n"/>
      <c r="D448" s="54" t="n"/>
      <c r="E448" s="54" t="n"/>
      <c r="F448" s="54" t="n"/>
      <c r="G448" s="54" t="n"/>
      <c r="H448" s="54" t="n"/>
      <c r="I448" s="54" t="n"/>
      <c r="J448" s="54" t="n"/>
      <c r="K448" s="54" t="n"/>
      <c r="L448" s="54" t="n"/>
      <c r="M448" s="54" t="n"/>
    </row>
    <row r="449" ht="15.75" customHeight="1" s="51">
      <c r="A449" s="102" t="n"/>
      <c r="B449" s="102" t="n"/>
      <c r="C449" s="94" t="n"/>
      <c r="D449" s="54" t="n"/>
      <c r="E449" s="54" t="n"/>
      <c r="F449" s="54" t="n"/>
      <c r="G449" s="54" t="n"/>
      <c r="H449" s="54" t="n"/>
      <c r="I449" s="54" t="n"/>
      <c r="J449" s="54" t="n"/>
      <c r="K449" s="54" t="n"/>
      <c r="L449" s="54" t="n"/>
      <c r="M449" s="54" t="n"/>
    </row>
    <row r="450" ht="15.75" customHeight="1" s="51">
      <c r="A450" s="102" t="n"/>
      <c r="B450" s="102" t="n"/>
      <c r="C450" s="94" t="n"/>
      <c r="D450" s="54" t="n"/>
      <c r="E450" s="54" t="n"/>
      <c r="F450" s="54" t="n"/>
      <c r="G450" s="54" t="n"/>
      <c r="H450" s="54" t="n"/>
      <c r="I450" s="54" t="n"/>
      <c r="J450" s="54" t="n"/>
      <c r="K450" s="54" t="n"/>
      <c r="L450" s="54" t="n"/>
      <c r="M450" s="54" t="n"/>
    </row>
    <row r="451" ht="15.75" customHeight="1" s="51">
      <c r="A451" s="102" t="n"/>
      <c r="B451" s="102" t="n"/>
      <c r="C451" s="94" t="n"/>
      <c r="D451" s="54" t="n"/>
      <c r="E451" s="54" t="n"/>
      <c r="F451" s="54" t="n"/>
      <c r="G451" s="54" t="n"/>
      <c r="H451" s="54" t="n"/>
      <c r="I451" s="54" t="n"/>
      <c r="J451" s="54" t="n"/>
      <c r="K451" s="54" t="n"/>
      <c r="L451" s="54" t="n"/>
      <c r="M451" s="54" t="n"/>
    </row>
    <row r="452" ht="15.75" customHeight="1" s="51">
      <c r="A452" s="102" t="n"/>
      <c r="B452" s="102" t="n"/>
      <c r="C452" s="94" t="n"/>
      <c r="D452" s="54" t="n"/>
      <c r="E452" s="54" t="n"/>
      <c r="F452" s="54" t="n"/>
      <c r="G452" s="54" t="n"/>
      <c r="H452" s="54" t="n"/>
      <c r="I452" s="54" t="n"/>
      <c r="J452" s="54" t="n"/>
      <c r="K452" s="54" t="n"/>
      <c r="L452" s="54" t="n"/>
      <c r="M452" s="54" t="n"/>
    </row>
    <row r="453" ht="15.75" customHeight="1" s="51">
      <c r="A453" s="102" t="n"/>
      <c r="B453" s="102" t="n"/>
      <c r="C453" s="94" t="n"/>
      <c r="D453" s="54" t="n"/>
      <c r="E453" s="54" t="n"/>
      <c r="F453" s="54" t="n"/>
      <c r="G453" s="54" t="n"/>
      <c r="H453" s="54" t="n"/>
      <c r="I453" s="54" t="n"/>
      <c r="J453" s="54" t="n"/>
      <c r="K453" s="54" t="n"/>
      <c r="L453" s="54" t="n"/>
      <c r="M453" s="54" t="n"/>
    </row>
    <row r="454" ht="15.75" customHeight="1" s="51">
      <c r="A454" s="102" t="n"/>
      <c r="B454" s="102" t="n"/>
      <c r="C454" s="94" t="n"/>
      <c r="D454" s="54" t="n"/>
      <c r="E454" s="54" t="n"/>
      <c r="F454" s="54" t="n"/>
      <c r="G454" s="54" t="n"/>
      <c r="H454" s="54" t="n"/>
      <c r="I454" s="54" t="n"/>
      <c r="J454" s="54" t="n"/>
      <c r="K454" s="54" t="n"/>
      <c r="L454" s="54" t="n"/>
      <c r="M454" s="54" t="n"/>
    </row>
    <row r="455" ht="15.75" customHeight="1" s="51">
      <c r="A455" s="102" t="n"/>
      <c r="B455" s="102" t="n"/>
      <c r="C455" s="94" t="n"/>
      <c r="D455" s="54" t="n"/>
      <c r="E455" s="54" t="n"/>
      <c r="F455" s="54" t="n"/>
      <c r="G455" s="54" t="n"/>
      <c r="H455" s="54" t="n"/>
      <c r="I455" s="54" t="n"/>
      <c r="J455" s="54" t="n"/>
      <c r="K455" s="54" t="n"/>
      <c r="L455" s="54" t="n"/>
      <c r="M455" s="54" t="n"/>
    </row>
    <row r="456" ht="15.75" customHeight="1" s="51">
      <c r="A456" s="102" t="n"/>
      <c r="B456" s="102" t="n"/>
      <c r="C456" s="94" t="n"/>
      <c r="D456" s="54" t="n"/>
      <c r="E456" s="54" t="n"/>
      <c r="F456" s="54" t="n"/>
      <c r="G456" s="54" t="n"/>
      <c r="H456" s="54" t="n"/>
      <c r="I456" s="54" t="n"/>
      <c r="J456" s="54" t="n"/>
      <c r="K456" s="54" t="n"/>
      <c r="L456" s="54" t="n"/>
      <c r="M456" s="54" t="n"/>
    </row>
    <row r="457" ht="15.75" customHeight="1" s="51">
      <c r="A457" s="102" t="n"/>
      <c r="B457" s="102" t="n"/>
      <c r="C457" s="94" t="n"/>
      <c r="D457" s="54" t="n"/>
      <c r="E457" s="54" t="n"/>
      <c r="F457" s="54" t="n"/>
      <c r="G457" s="54" t="n"/>
      <c r="H457" s="54" t="n"/>
      <c r="I457" s="54" t="n"/>
      <c r="J457" s="54" t="n"/>
      <c r="K457" s="54" t="n"/>
      <c r="L457" s="54" t="n"/>
      <c r="M457" s="54" t="n"/>
    </row>
    <row r="458" ht="15.75" customHeight="1" s="51">
      <c r="A458" s="102" t="n"/>
      <c r="B458" s="102" t="n"/>
      <c r="C458" s="94" t="n"/>
      <c r="D458" s="54" t="n"/>
      <c r="E458" s="54" t="n"/>
      <c r="F458" s="54" t="n"/>
      <c r="G458" s="54" t="n"/>
      <c r="H458" s="54" t="n"/>
      <c r="I458" s="54" t="n"/>
      <c r="J458" s="54" t="n"/>
      <c r="K458" s="54" t="n"/>
      <c r="L458" s="54" t="n"/>
      <c r="M458" s="54" t="n"/>
    </row>
    <row r="459" ht="15.75" customHeight="1" s="51">
      <c r="A459" s="102" t="n"/>
      <c r="B459" s="102" t="n"/>
      <c r="C459" s="94" t="n"/>
      <c r="D459" s="54" t="n"/>
      <c r="E459" s="54" t="n"/>
      <c r="F459" s="54" t="n"/>
      <c r="G459" s="54" t="n"/>
      <c r="H459" s="54" t="n"/>
      <c r="I459" s="54" t="n"/>
      <c r="J459" s="54" t="n"/>
      <c r="K459" s="54" t="n"/>
      <c r="L459" s="54" t="n"/>
      <c r="M459" s="54" t="n"/>
    </row>
    <row r="460" ht="15.75" customHeight="1" s="51">
      <c r="A460" s="102" t="n"/>
      <c r="B460" s="102" t="n"/>
      <c r="C460" s="94" t="n"/>
      <c r="D460" s="54" t="n"/>
      <c r="E460" s="54" t="n"/>
      <c r="F460" s="54" t="n"/>
      <c r="G460" s="54" t="n"/>
      <c r="H460" s="54" t="n"/>
      <c r="I460" s="54" t="n"/>
      <c r="J460" s="54" t="n"/>
      <c r="K460" s="54" t="n"/>
      <c r="L460" s="54" t="n"/>
      <c r="M460" s="54" t="n"/>
    </row>
    <row r="461" ht="15.75" customHeight="1" s="51">
      <c r="A461" s="102" t="n"/>
      <c r="B461" s="102" t="n"/>
      <c r="C461" s="94" t="n"/>
      <c r="D461" s="54" t="n"/>
      <c r="E461" s="54" t="n"/>
      <c r="F461" s="54" t="n"/>
      <c r="G461" s="54" t="n"/>
      <c r="H461" s="54" t="n"/>
      <c r="I461" s="54" t="n"/>
      <c r="J461" s="54" t="n"/>
      <c r="K461" s="54" t="n"/>
      <c r="L461" s="54" t="n"/>
      <c r="M461" s="54" t="n"/>
    </row>
    <row r="462" ht="15.75" customHeight="1" s="51">
      <c r="A462" s="102" t="n"/>
      <c r="B462" s="102" t="n"/>
      <c r="C462" s="94" t="n"/>
      <c r="D462" s="54" t="n"/>
      <c r="E462" s="54" t="n"/>
      <c r="F462" s="54" t="n"/>
      <c r="G462" s="54" t="n"/>
      <c r="H462" s="54" t="n"/>
      <c r="I462" s="54" t="n"/>
      <c r="J462" s="54" t="n"/>
      <c r="K462" s="54" t="n"/>
      <c r="L462" s="54" t="n"/>
      <c r="M462" s="54" t="n"/>
    </row>
    <row r="463" ht="15.75" customHeight="1" s="51">
      <c r="A463" s="102" t="n"/>
      <c r="B463" s="102" t="n"/>
      <c r="C463" s="94" t="n"/>
      <c r="D463" s="54" t="n"/>
      <c r="E463" s="54" t="n"/>
      <c r="F463" s="54" t="n"/>
      <c r="G463" s="54" t="n"/>
      <c r="H463" s="54" t="n"/>
      <c r="I463" s="54" t="n"/>
      <c r="J463" s="54" t="n"/>
      <c r="K463" s="54" t="n"/>
      <c r="L463" s="54" t="n"/>
      <c r="M463" s="54" t="n"/>
    </row>
    <row r="464" ht="15.75" customHeight="1" s="51">
      <c r="A464" s="102" t="n"/>
      <c r="B464" s="102" t="n"/>
      <c r="C464" s="94" t="n"/>
      <c r="D464" s="54" t="n"/>
      <c r="E464" s="54" t="n"/>
      <c r="F464" s="54" t="n"/>
      <c r="G464" s="54" t="n"/>
      <c r="H464" s="54" t="n"/>
      <c r="I464" s="54" t="n"/>
      <c r="J464" s="54" t="n"/>
      <c r="K464" s="54" t="n"/>
      <c r="L464" s="54" t="n"/>
      <c r="M464" s="54" t="n"/>
    </row>
    <row r="465" ht="15.75" customHeight="1" s="51">
      <c r="A465" s="102" t="n"/>
      <c r="B465" s="102" t="n"/>
      <c r="C465" s="94" t="n"/>
      <c r="D465" s="54" t="n"/>
      <c r="E465" s="54" t="n"/>
      <c r="F465" s="54" t="n"/>
      <c r="G465" s="54" t="n"/>
      <c r="H465" s="54" t="n"/>
      <c r="I465" s="54" t="n"/>
      <c r="J465" s="54" t="n"/>
      <c r="K465" s="54" t="n"/>
      <c r="L465" s="54" t="n"/>
      <c r="M465" s="54" t="n"/>
    </row>
    <row r="466" ht="15.75" customHeight="1" s="51">
      <c r="A466" s="102" t="n"/>
      <c r="B466" s="102" t="n"/>
      <c r="C466" s="94" t="n"/>
      <c r="D466" s="54" t="n"/>
      <c r="E466" s="54" t="n"/>
      <c r="F466" s="54" t="n"/>
      <c r="G466" s="54" t="n"/>
      <c r="H466" s="54" t="n"/>
      <c r="I466" s="54" t="n"/>
      <c r="J466" s="54" t="n"/>
      <c r="K466" s="54" t="n"/>
      <c r="L466" s="54" t="n"/>
      <c r="M466" s="54" t="n"/>
    </row>
    <row r="467" ht="15.75" customHeight="1" s="51">
      <c r="A467" s="102" t="n"/>
      <c r="B467" s="102" t="n"/>
      <c r="C467" s="94" t="n"/>
      <c r="D467" s="54" t="n"/>
      <c r="E467" s="54" t="n"/>
      <c r="F467" s="54" t="n"/>
      <c r="G467" s="54" t="n"/>
      <c r="H467" s="54" t="n"/>
      <c r="I467" s="54" t="n"/>
      <c r="J467" s="54" t="n"/>
      <c r="K467" s="54" t="n"/>
      <c r="L467" s="54" t="n"/>
      <c r="M467" s="54" t="n"/>
    </row>
    <row r="468" ht="15.75" customHeight="1" s="51">
      <c r="A468" s="102" t="n"/>
      <c r="B468" s="102" t="n"/>
      <c r="C468" s="94" t="n"/>
      <c r="D468" s="54" t="n"/>
      <c r="E468" s="54" t="n"/>
      <c r="F468" s="54" t="n"/>
      <c r="G468" s="54" t="n"/>
      <c r="H468" s="54" t="n"/>
      <c r="I468" s="54" t="n"/>
      <c r="J468" s="54" t="n"/>
      <c r="K468" s="54" t="n"/>
      <c r="L468" s="54" t="n"/>
      <c r="M468" s="54" t="n"/>
    </row>
    <row r="469" ht="15.75" customHeight="1" s="51">
      <c r="A469" s="102" t="n"/>
      <c r="B469" s="102" t="n"/>
      <c r="C469" s="94" t="n"/>
      <c r="D469" s="54" t="n"/>
      <c r="E469" s="54" t="n"/>
      <c r="F469" s="54" t="n"/>
      <c r="G469" s="54" t="n"/>
      <c r="H469" s="54" t="n"/>
      <c r="I469" s="54" t="n"/>
      <c r="J469" s="54" t="n"/>
      <c r="K469" s="54" t="n"/>
      <c r="L469" s="54" t="n"/>
      <c r="M469" s="54" t="n"/>
    </row>
    <row r="470" ht="15.75" customHeight="1" s="51">
      <c r="A470" s="102" t="n"/>
      <c r="B470" s="102" t="n"/>
      <c r="C470" s="94" t="n"/>
      <c r="D470" s="54" t="n"/>
      <c r="E470" s="54" t="n"/>
      <c r="F470" s="54" t="n"/>
      <c r="G470" s="54" t="n"/>
      <c r="H470" s="54" t="n"/>
      <c r="I470" s="54" t="n"/>
      <c r="J470" s="54" t="n"/>
      <c r="K470" s="54" t="n"/>
      <c r="L470" s="54" t="n"/>
      <c r="M470" s="54" t="n"/>
    </row>
    <row r="471" ht="15.75" customHeight="1" s="51">
      <c r="A471" s="102" t="n"/>
      <c r="B471" s="102" t="n"/>
      <c r="C471" s="94" t="n"/>
      <c r="D471" s="54" t="n"/>
      <c r="E471" s="54" t="n"/>
      <c r="F471" s="54" t="n"/>
      <c r="G471" s="54" t="n"/>
      <c r="H471" s="54" t="n"/>
      <c r="I471" s="54" t="n"/>
      <c r="J471" s="54" t="n"/>
      <c r="K471" s="54" t="n"/>
      <c r="L471" s="54" t="n"/>
      <c r="M471" s="54" t="n"/>
    </row>
    <row r="472" ht="15.75" customHeight="1" s="51">
      <c r="A472" s="102" t="n"/>
      <c r="B472" s="102" t="n"/>
      <c r="C472" s="94" t="n"/>
      <c r="D472" s="54" t="n"/>
      <c r="E472" s="54" t="n"/>
      <c r="F472" s="54" t="n"/>
      <c r="G472" s="54" t="n"/>
      <c r="H472" s="54" t="n"/>
      <c r="I472" s="54" t="n"/>
      <c r="J472" s="54" t="n"/>
      <c r="K472" s="54" t="n"/>
      <c r="L472" s="54" t="n"/>
      <c r="M472" s="54" t="n"/>
    </row>
    <row r="473" ht="15.75" customHeight="1" s="51">
      <c r="A473" s="102" t="n"/>
      <c r="B473" s="102" t="n"/>
      <c r="C473" s="94" t="n"/>
      <c r="D473" s="54" t="n"/>
      <c r="E473" s="54" t="n"/>
      <c r="F473" s="54" t="n"/>
      <c r="G473" s="54" t="n"/>
      <c r="H473" s="54" t="n"/>
      <c r="I473" s="54" t="n"/>
      <c r="J473" s="54" t="n"/>
      <c r="K473" s="54" t="n"/>
      <c r="L473" s="54" t="n"/>
      <c r="M473" s="54" t="n"/>
    </row>
    <row r="474" ht="15.75" customHeight="1" s="51">
      <c r="A474" s="102" t="n"/>
      <c r="B474" s="102" t="n"/>
      <c r="C474" s="94" t="n"/>
      <c r="D474" s="54" t="n"/>
      <c r="E474" s="54" t="n"/>
      <c r="F474" s="54" t="n"/>
      <c r="G474" s="54" t="n"/>
      <c r="H474" s="54" t="n"/>
      <c r="I474" s="54" t="n"/>
      <c r="J474" s="54" t="n"/>
      <c r="K474" s="54" t="n"/>
      <c r="L474" s="54" t="n"/>
      <c r="M474" s="54" t="n"/>
    </row>
    <row r="475" ht="15.75" customHeight="1" s="51">
      <c r="A475" s="102" t="n"/>
      <c r="B475" s="102" t="n"/>
      <c r="C475" s="94" t="n"/>
      <c r="D475" s="54" t="n"/>
      <c r="E475" s="54" t="n"/>
      <c r="F475" s="54" t="n"/>
      <c r="G475" s="54" t="n"/>
      <c r="H475" s="54" t="n"/>
      <c r="I475" s="54" t="n"/>
      <c r="J475" s="54" t="n"/>
      <c r="K475" s="54" t="n"/>
      <c r="L475" s="54" t="n"/>
      <c r="M475" s="54" t="n"/>
    </row>
    <row r="476" ht="15.75" customHeight="1" s="51">
      <c r="A476" s="102" t="n"/>
      <c r="B476" s="102" t="n"/>
      <c r="C476" s="94" t="n"/>
      <c r="D476" s="54" t="n"/>
      <c r="E476" s="54" t="n"/>
      <c r="F476" s="54" t="n"/>
      <c r="G476" s="54" t="n"/>
      <c r="H476" s="54" t="n"/>
      <c r="I476" s="54" t="n"/>
      <c r="J476" s="54" t="n"/>
      <c r="K476" s="54" t="n"/>
      <c r="L476" s="54" t="n"/>
      <c r="M476" s="54" t="n"/>
    </row>
    <row r="477" ht="15.75" customHeight="1" s="51">
      <c r="A477" s="102" t="n"/>
      <c r="B477" s="102" t="n"/>
      <c r="C477" s="94" t="n"/>
      <c r="D477" s="54" t="n"/>
      <c r="E477" s="54" t="n"/>
      <c r="F477" s="54" t="n"/>
      <c r="G477" s="54" t="n"/>
      <c r="H477" s="54" t="n"/>
      <c r="I477" s="54" t="n"/>
      <c r="J477" s="54" t="n"/>
      <c r="K477" s="54" t="n"/>
      <c r="L477" s="54" t="n"/>
      <c r="M477" s="54" t="n"/>
    </row>
    <row r="478" ht="15.75" customHeight="1" s="51">
      <c r="A478" s="102" t="n"/>
      <c r="B478" s="102" t="n"/>
      <c r="C478" s="94" t="n"/>
      <c r="D478" s="54" t="n"/>
      <c r="E478" s="54" t="n"/>
      <c r="F478" s="54" t="n"/>
      <c r="G478" s="54" t="n"/>
      <c r="H478" s="54" t="n"/>
      <c r="I478" s="54" t="n"/>
      <c r="J478" s="54" t="n"/>
      <c r="K478" s="54" t="n"/>
      <c r="L478" s="54" t="n"/>
      <c r="M478" s="54" t="n"/>
    </row>
    <row r="479" ht="15.75" customHeight="1" s="51">
      <c r="A479" s="102" t="n"/>
      <c r="B479" s="102" t="n"/>
      <c r="C479" s="94" t="n"/>
      <c r="D479" s="54" t="n"/>
      <c r="E479" s="54" t="n"/>
      <c r="F479" s="54" t="n"/>
      <c r="G479" s="54" t="n"/>
      <c r="H479" s="54" t="n"/>
      <c r="I479" s="54" t="n"/>
      <c r="J479" s="54" t="n"/>
      <c r="K479" s="54" t="n"/>
      <c r="L479" s="54" t="n"/>
      <c r="M479" s="54" t="n"/>
    </row>
    <row r="480" ht="15.75" customHeight="1" s="51">
      <c r="A480" s="102" t="n"/>
      <c r="B480" s="102" t="n"/>
      <c r="C480" s="94" t="n"/>
      <c r="D480" s="54" t="n"/>
      <c r="E480" s="54" t="n"/>
      <c r="F480" s="54" t="n"/>
      <c r="G480" s="54" t="n"/>
      <c r="H480" s="54" t="n"/>
      <c r="I480" s="54" t="n"/>
      <c r="J480" s="54" t="n"/>
      <c r="K480" s="54" t="n"/>
      <c r="L480" s="54" t="n"/>
      <c r="M480" s="54" t="n"/>
    </row>
    <row r="481" ht="15.75" customHeight="1" s="51">
      <c r="A481" s="102" t="n"/>
      <c r="B481" s="102" t="n"/>
      <c r="C481" s="94" t="n"/>
      <c r="D481" s="54" t="n"/>
      <c r="E481" s="54" t="n"/>
      <c r="F481" s="54" t="n"/>
      <c r="G481" s="54" t="n"/>
      <c r="H481" s="54" t="n"/>
      <c r="I481" s="54" t="n"/>
      <c r="J481" s="54" t="n"/>
      <c r="K481" s="54" t="n"/>
      <c r="L481" s="54" t="n"/>
      <c r="M481" s="54" t="n"/>
    </row>
    <row r="482" ht="15.75" customHeight="1" s="51">
      <c r="A482" s="102" t="n"/>
      <c r="B482" s="102" t="n"/>
      <c r="C482" s="94" t="n"/>
      <c r="D482" s="54" t="n"/>
      <c r="E482" s="54" t="n"/>
      <c r="F482" s="54" t="n"/>
      <c r="G482" s="54" t="n"/>
      <c r="H482" s="54" t="n"/>
      <c r="I482" s="54" t="n"/>
      <c r="J482" s="54" t="n"/>
      <c r="K482" s="54" t="n"/>
      <c r="L482" s="54" t="n"/>
      <c r="M482" s="54" t="n"/>
    </row>
    <row r="483" ht="15.75" customHeight="1" s="51">
      <c r="A483" s="102" t="n"/>
      <c r="B483" s="102" t="n"/>
      <c r="C483" s="94" t="n"/>
      <c r="D483" s="54" t="n"/>
      <c r="E483" s="54" t="n"/>
      <c r="F483" s="54" t="n"/>
      <c r="G483" s="54" t="n"/>
      <c r="H483" s="54" t="n"/>
      <c r="I483" s="54" t="n"/>
      <c r="J483" s="54" t="n"/>
      <c r="K483" s="54" t="n"/>
      <c r="L483" s="54" t="n"/>
      <c r="M483" s="54" t="n"/>
    </row>
    <row r="484" ht="15.75" customHeight="1" s="51">
      <c r="A484" s="102" t="n"/>
      <c r="B484" s="102" t="n"/>
      <c r="C484" s="94" t="n"/>
      <c r="D484" s="54" t="n"/>
      <c r="E484" s="54" t="n"/>
      <c r="F484" s="54" t="n"/>
      <c r="G484" s="54" t="n"/>
      <c r="H484" s="54" t="n"/>
      <c r="I484" s="54" t="n"/>
      <c r="J484" s="54" t="n"/>
      <c r="K484" s="54" t="n"/>
      <c r="L484" s="54" t="n"/>
      <c r="M484" s="54" t="n"/>
    </row>
    <row r="485" ht="15.75" customHeight="1" s="51">
      <c r="A485" s="102" t="n"/>
      <c r="B485" s="102" t="n"/>
      <c r="C485" s="94" t="n"/>
      <c r="D485" s="54" t="n"/>
      <c r="E485" s="54" t="n"/>
      <c r="F485" s="54" t="n"/>
      <c r="G485" s="54" t="n"/>
      <c r="H485" s="54" t="n"/>
      <c r="I485" s="54" t="n"/>
      <c r="J485" s="54" t="n"/>
      <c r="K485" s="54" t="n"/>
      <c r="L485" s="54" t="n"/>
      <c r="M485" s="54" t="n"/>
    </row>
    <row r="486" ht="15.75" customHeight="1" s="51">
      <c r="A486" s="102" t="n"/>
      <c r="B486" s="102" t="n"/>
      <c r="C486" s="94" t="n"/>
      <c r="D486" s="54" t="n"/>
      <c r="E486" s="54" t="n"/>
      <c r="F486" s="54" t="n"/>
      <c r="G486" s="54" t="n"/>
      <c r="H486" s="54" t="n"/>
      <c r="I486" s="54" t="n"/>
      <c r="J486" s="54" t="n"/>
      <c r="K486" s="54" t="n"/>
      <c r="L486" s="54" t="n"/>
      <c r="M486" s="54" t="n"/>
    </row>
    <row r="487" ht="15.75" customHeight="1" s="51">
      <c r="A487" s="102" t="n"/>
      <c r="B487" s="102" t="n"/>
      <c r="C487" s="94" t="n"/>
      <c r="D487" s="54" t="n"/>
      <c r="E487" s="54" t="n"/>
      <c r="F487" s="54" t="n"/>
      <c r="G487" s="54" t="n"/>
      <c r="H487" s="54" t="n"/>
      <c r="I487" s="54" t="n"/>
      <c r="J487" s="54" t="n"/>
      <c r="K487" s="54" t="n"/>
      <c r="L487" s="54" t="n"/>
      <c r="M487" s="54" t="n"/>
    </row>
    <row r="488" ht="15.75" customHeight="1" s="51">
      <c r="A488" s="102" t="n"/>
      <c r="B488" s="102" t="n"/>
      <c r="C488" s="94" t="n"/>
      <c r="D488" s="54" t="n"/>
      <c r="E488" s="54" t="n"/>
      <c r="F488" s="54" t="n"/>
      <c r="G488" s="54" t="n"/>
      <c r="H488" s="54" t="n"/>
      <c r="I488" s="54" t="n"/>
      <c r="J488" s="54" t="n"/>
      <c r="K488" s="54" t="n"/>
      <c r="L488" s="54" t="n"/>
      <c r="M488" s="54" t="n"/>
    </row>
    <row r="489" ht="15.75" customHeight="1" s="51">
      <c r="A489" s="102" t="n"/>
      <c r="B489" s="102" t="n"/>
      <c r="C489" s="94" t="n"/>
      <c r="D489" s="54" t="n"/>
      <c r="E489" s="54" t="n"/>
      <c r="F489" s="54" t="n"/>
      <c r="G489" s="54" t="n"/>
      <c r="H489" s="54" t="n"/>
      <c r="I489" s="54" t="n"/>
      <c r="J489" s="54" t="n"/>
      <c r="K489" s="54" t="n"/>
      <c r="L489" s="54" t="n"/>
      <c r="M489" s="54" t="n"/>
    </row>
    <row r="490" ht="15.75" customHeight="1" s="51">
      <c r="A490" s="102" t="n"/>
      <c r="B490" s="102" t="n"/>
      <c r="C490" s="94" t="n"/>
      <c r="D490" s="54" t="n"/>
      <c r="E490" s="54" t="n"/>
      <c r="F490" s="54" t="n"/>
      <c r="G490" s="54" t="n"/>
      <c r="H490" s="54" t="n"/>
      <c r="I490" s="54" t="n"/>
      <c r="J490" s="54" t="n"/>
      <c r="K490" s="54" t="n"/>
      <c r="L490" s="54" t="n"/>
      <c r="M490" s="54" t="n"/>
    </row>
    <row r="491" ht="15.75" customHeight="1" s="51">
      <c r="A491" s="102" t="n"/>
      <c r="B491" s="102" t="n"/>
      <c r="C491" s="94" t="n"/>
      <c r="D491" s="54" t="n"/>
      <c r="E491" s="54" t="n"/>
      <c r="F491" s="54" t="n"/>
      <c r="G491" s="54" t="n"/>
      <c r="H491" s="54" t="n"/>
      <c r="I491" s="54" t="n"/>
      <c r="J491" s="54" t="n"/>
      <c r="K491" s="54" t="n"/>
      <c r="L491" s="54" t="n"/>
      <c r="M491" s="54" t="n"/>
    </row>
    <row r="492" ht="15.75" customHeight="1" s="51">
      <c r="A492" s="102" t="n"/>
      <c r="B492" s="102" t="n"/>
      <c r="C492" s="94" t="n"/>
      <c r="D492" s="54" t="n"/>
      <c r="E492" s="54" t="n"/>
      <c r="F492" s="54" t="n"/>
      <c r="G492" s="54" t="n"/>
      <c r="H492" s="54" t="n"/>
      <c r="I492" s="54" t="n"/>
      <c r="J492" s="54" t="n"/>
      <c r="K492" s="54" t="n"/>
      <c r="L492" s="54" t="n"/>
      <c r="M492" s="54" t="n"/>
    </row>
    <row r="493" ht="15.75" customHeight="1" s="51">
      <c r="A493" s="102" t="n"/>
      <c r="B493" s="102" t="n"/>
      <c r="C493" s="94" t="n"/>
      <c r="D493" s="54" t="n"/>
      <c r="E493" s="54" t="n"/>
      <c r="F493" s="54" t="n"/>
      <c r="G493" s="54" t="n"/>
      <c r="H493" s="54" t="n"/>
      <c r="I493" s="54" t="n"/>
      <c r="J493" s="54" t="n"/>
      <c r="K493" s="54" t="n"/>
      <c r="L493" s="54" t="n"/>
      <c r="M493" s="54" t="n"/>
    </row>
    <row r="494" ht="15.75" customHeight="1" s="51">
      <c r="A494" s="102" t="n"/>
      <c r="B494" s="102" t="n"/>
      <c r="C494" s="94" t="n"/>
      <c r="D494" s="54" t="n"/>
      <c r="E494" s="54" t="n"/>
      <c r="F494" s="54" t="n"/>
      <c r="G494" s="54" t="n"/>
      <c r="H494" s="54" t="n"/>
      <c r="I494" s="54" t="n"/>
      <c r="J494" s="54" t="n"/>
      <c r="K494" s="54" t="n"/>
      <c r="L494" s="54" t="n"/>
      <c r="M494" s="54" t="n"/>
    </row>
    <row r="495" ht="15.75" customHeight="1" s="51">
      <c r="A495" s="102" t="n"/>
      <c r="B495" s="102" t="n"/>
      <c r="C495" s="94" t="n"/>
      <c r="D495" s="54" t="n"/>
      <c r="E495" s="54" t="n"/>
      <c r="F495" s="54" t="n"/>
      <c r="G495" s="54" t="n"/>
      <c r="H495" s="54" t="n"/>
      <c r="I495" s="54" t="n"/>
      <c r="J495" s="54" t="n"/>
      <c r="K495" s="54" t="n"/>
      <c r="L495" s="54" t="n"/>
      <c r="M495" s="54" t="n"/>
    </row>
    <row r="496" ht="15.75" customHeight="1" s="51">
      <c r="A496" s="102" t="n"/>
      <c r="B496" s="102" t="n"/>
      <c r="C496" s="94" t="n"/>
      <c r="D496" s="54" t="n"/>
      <c r="E496" s="54" t="n"/>
      <c r="F496" s="54" t="n"/>
      <c r="G496" s="54" t="n"/>
      <c r="H496" s="54" t="n"/>
      <c r="I496" s="54" t="n"/>
      <c r="J496" s="54" t="n"/>
      <c r="K496" s="54" t="n"/>
      <c r="L496" s="54" t="n"/>
      <c r="M496" s="54" t="n"/>
    </row>
    <row r="497" ht="15.75" customHeight="1" s="51">
      <c r="A497" s="102" t="n"/>
      <c r="B497" s="102" t="n"/>
      <c r="C497" s="94" t="n"/>
      <c r="D497" s="54" t="n"/>
      <c r="E497" s="54" t="n"/>
      <c r="F497" s="54" t="n"/>
      <c r="G497" s="54" t="n"/>
      <c r="H497" s="54" t="n"/>
      <c r="I497" s="54" t="n"/>
      <c r="J497" s="54" t="n"/>
      <c r="K497" s="54" t="n"/>
      <c r="L497" s="54" t="n"/>
      <c r="M497" s="54" t="n"/>
    </row>
    <row r="498" ht="15.75" customHeight="1" s="51">
      <c r="A498" s="102" t="n"/>
      <c r="B498" s="102" t="n"/>
      <c r="C498" s="94" t="n"/>
      <c r="D498" s="54" t="n"/>
      <c r="E498" s="54" t="n"/>
      <c r="F498" s="54" t="n"/>
      <c r="G498" s="54" t="n"/>
      <c r="H498" s="54" t="n"/>
      <c r="I498" s="54" t="n"/>
      <c r="J498" s="54" t="n"/>
      <c r="K498" s="54" t="n"/>
      <c r="L498" s="54" t="n"/>
      <c r="M498" s="54" t="n"/>
    </row>
    <row r="499" ht="15.75" customHeight="1" s="51">
      <c r="A499" s="102" t="n"/>
      <c r="B499" s="102" t="n"/>
      <c r="C499" s="94" t="n"/>
      <c r="D499" s="54" t="n"/>
      <c r="E499" s="54" t="n"/>
      <c r="F499" s="54" t="n"/>
      <c r="G499" s="54" t="n"/>
      <c r="H499" s="54" t="n"/>
      <c r="I499" s="54" t="n"/>
      <c r="J499" s="54" t="n"/>
      <c r="K499" s="54" t="n"/>
      <c r="L499" s="54" t="n"/>
      <c r="M499" s="54" t="n"/>
    </row>
    <row r="500" ht="15.75" customHeight="1" s="51">
      <c r="A500" s="102" t="n"/>
      <c r="B500" s="102" t="n"/>
      <c r="C500" s="94" t="n"/>
      <c r="D500" s="54" t="n"/>
      <c r="E500" s="54" t="n"/>
      <c r="F500" s="54" t="n"/>
      <c r="G500" s="54" t="n"/>
      <c r="H500" s="54" t="n"/>
      <c r="I500" s="54" t="n"/>
      <c r="J500" s="54" t="n"/>
      <c r="K500" s="54" t="n"/>
      <c r="L500" s="54" t="n"/>
      <c r="M500" s="54" t="n"/>
    </row>
    <row r="501" ht="15.75" customHeight="1" s="51">
      <c r="A501" s="102" t="n"/>
      <c r="B501" s="102" t="n"/>
      <c r="C501" s="94" t="n"/>
      <c r="D501" s="54" t="n"/>
      <c r="E501" s="54" t="n"/>
      <c r="F501" s="54" t="n"/>
      <c r="G501" s="54" t="n"/>
      <c r="H501" s="54" t="n"/>
      <c r="I501" s="54" t="n"/>
      <c r="J501" s="54" t="n"/>
      <c r="K501" s="54" t="n"/>
      <c r="L501" s="54" t="n"/>
      <c r="M501" s="54" t="n"/>
    </row>
    <row r="502" ht="15.75" customHeight="1" s="51">
      <c r="A502" s="102" t="n"/>
      <c r="B502" s="102" t="n"/>
      <c r="C502" s="94" t="n"/>
      <c r="D502" s="54" t="n"/>
      <c r="E502" s="54" t="n"/>
      <c r="F502" s="54" t="n"/>
      <c r="G502" s="54" t="n"/>
      <c r="H502" s="54" t="n"/>
      <c r="I502" s="54" t="n"/>
      <c r="J502" s="54" t="n"/>
      <c r="K502" s="54" t="n"/>
      <c r="L502" s="54" t="n"/>
      <c r="M502" s="54" t="n"/>
    </row>
    <row r="503" ht="15.75" customHeight="1" s="51">
      <c r="A503" s="102" t="n"/>
      <c r="B503" s="102" t="n"/>
      <c r="C503" s="94" t="n"/>
      <c r="D503" s="54" t="n"/>
      <c r="E503" s="54" t="n"/>
      <c r="F503" s="54" t="n"/>
      <c r="G503" s="54" t="n"/>
      <c r="H503" s="54" t="n"/>
      <c r="I503" s="54" t="n"/>
      <c r="J503" s="54" t="n"/>
      <c r="K503" s="54" t="n"/>
      <c r="L503" s="54" t="n"/>
      <c r="M503" s="54" t="n"/>
    </row>
    <row r="504" ht="15.75" customHeight="1" s="51">
      <c r="A504" s="102" t="n"/>
      <c r="B504" s="102" t="n"/>
      <c r="C504" s="94" t="n"/>
      <c r="D504" s="54" t="n"/>
      <c r="E504" s="54" t="n"/>
      <c r="F504" s="54" t="n"/>
      <c r="G504" s="54" t="n"/>
      <c r="H504" s="54" t="n"/>
      <c r="I504" s="54" t="n"/>
      <c r="J504" s="54" t="n"/>
      <c r="K504" s="54" t="n"/>
      <c r="L504" s="54" t="n"/>
      <c r="M504" s="54" t="n"/>
    </row>
    <row r="505" ht="15.75" customHeight="1" s="51">
      <c r="A505" s="102" t="n"/>
      <c r="B505" s="102" t="n"/>
      <c r="C505" s="94" t="n"/>
      <c r="D505" s="54" t="n"/>
      <c r="E505" s="54" t="n"/>
      <c r="F505" s="54" t="n"/>
      <c r="G505" s="54" t="n"/>
      <c r="H505" s="54" t="n"/>
      <c r="I505" s="54" t="n"/>
      <c r="J505" s="54" t="n"/>
      <c r="K505" s="54" t="n"/>
      <c r="L505" s="54" t="n"/>
      <c r="M505" s="54" t="n"/>
    </row>
    <row r="506" ht="15.75" customHeight="1" s="51">
      <c r="A506" s="102" t="n"/>
      <c r="B506" s="102" t="n"/>
      <c r="C506" s="94" t="n"/>
      <c r="D506" s="54" t="n"/>
      <c r="E506" s="54" t="n"/>
      <c r="F506" s="54" t="n"/>
      <c r="G506" s="54" t="n"/>
      <c r="H506" s="54" t="n"/>
      <c r="I506" s="54" t="n"/>
      <c r="J506" s="54" t="n"/>
      <c r="K506" s="54" t="n"/>
      <c r="L506" s="54" t="n"/>
      <c r="M506" s="54" t="n"/>
    </row>
    <row r="507" ht="15.75" customHeight="1" s="51">
      <c r="A507" s="102" t="n"/>
      <c r="B507" s="102" t="n"/>
      <c r="C507" s="94" t="n"/>
      <c r="D507" s="54" t="n"/>
      <c r="E507" s="54" t="n"/>
      <c r="F507" s="54" t="n"/>
      <c r="G507" s="54" t="n"/>
      <c r="H507" s="54" t="n"/>
      <c r="I507" s="54" t="n"/>
      <c r="J507" s="54" t="n"/>
      <c r="K507" s="54" t="n"/>
      <c r="L507" s="54" t="n"/>
      <c r="M507" s="54" t="n"/>
    </row>
    <row r="508" ht="15.75" customHeight="1" s="51">
      <c r="A508" s="102" t="n"/>
      <c r="B508" s="102" t="n"/>
      <c r="C508" s="94" t="n"/>
      <c r="D508" s="54" t="n"/>
      <c r="E508" s="54" t="n"/>
      <c r="F508" s="54" t="n"/>
      <c r="G508" s="54" t="n"/>
      <c r="H508" s="54" t="n"/>
      <c r="I508" s="54" t="n"/>
      <c r="J508" s="54" t="n"/>
      <c r="K508" s="54" t="n"/>
      <c r="L508" s="54" t="n"/>
      <c r="M508" s="54" t="n"/>
    </row>
    <row r="509" ht="15.75" customHeight="1" s="51">
      <c r="A509" s="102" t="n"/>
      <c r="B509" s="102" t="n"/>
      <c r="C509" s="94" t="n"/>
      <c r="D509" s="54" t="n"/>
      <c r="E509" s="54" t="n"/>
      <c r="F509" s="54" t="n"/>
      <c r="G509" s="54" t="n"/>
      <c r="H509" s="54" t="n"/>
      <c r="I509" s="54" t="n"/>
      <c r="J509" s="54" t="n"/>
      <c r="K509" s="54" t="n"/>
      <c r="L509" s="54" t="n"/>
      <c r="M509" s="54" t="n"/>
    </row>
    <row r="510" ht="15.75" customHeight="1" s="51">
      <c r="A510" s="102" t="n"/>
      <c r="B510" s="102" t="n"/>
      <c r="C510" s="94" t="n"/>
      <c r="D510" s="54" t="n"/>
      <c r="E510" s="54" t="n"/>
      <c r="F510" s="54" t="n"/>
      <c r="G510" s="54" t="n"/>
      <c r="H510" s="54" t="n"/>
      <c r="I510" s="54" t="n"/>
      <c r="J510" s="54" t="n"/>
      <c r="K510" s="54" t="n"/>
      <c r="L510" s="54" t="n"/>
      <c r="M510" s="54" t="n"/>
    </row>
    <row r="511" ht="15.75" customHeight="1" s="51">
      <c r="A511" s="102" t="n"/>
      <c r="B511" s="102" t="n"/>
      <c r="C511" s="94" t="n"/>
      <c r="D511" s="54" t="n"/>
      <c r="E511" s="54" t="n"/>
      <c r="F511" s="54" t="n"/>
      <c r="G511" s="54" t="n"/>
      <c r="H511" s="54" t="n"/>
      <c r="I511" s="54" t="n"/>
      <c r="J511" s="54" t="n"/>
      <c r="K511" s="54" t="n"/>
      <c r="L511" s="54" t="n"/>
      <c r="M511" s="54" t="n"/>
    </row>
    <row r="512" ht="15.75" customHeight="1" s="51">
      <c r="A512" s="102" t="n"/>
      <c r="B512" s="102" t="n"/>
      <c r="C512" s="94" t="n"/>
      <c r="D512" s="54" t="n"/>
      <c r="E512" s="54" t="n"/>
      <c r="F512" s="54" t="n"/>
      <c r="G512" s="54" t="n"/>
      <c r="H512" s="54" t="n"/>
      <c r="I512" s="54" t="n"/>
      <c r="J512" s="54" t="n"/>
      <c r="K512" s="54" t="n"/>
      <c r="L512" s="54" t="n"/>
      <c r="M512" s="54" t="n"/>
    </row>
    <row r="513" ht="15.75" customHeight="1" s="51">
      <c r="A513" s="102" t="n"/>
      <c r="B513" s="102" t="n"/>
      <c r="C513" s="94" t="n"/>
      <c r="D513" s="54" t="n"/>
      <c r="E513" s="54" t="n"/>
      <c r="F513" s="54" t="n"/>
      <c r="G513" s="54" t="n"/>
      <c r="H513" s="54" t="n"/>
      <c r="I513" s="54" t="n"/>
      <c r="J513" s="54" t="n"/>
      <c r="K513" s="54" t="n"/>
      <c r="L513" s="54" t="n"/>
      <c r="M513" s="54" t="n"/>
    </row>
    <row r="514" ht="15.75" customHeight="1" s="51">
      <c r="A514" s="102" t="n"/>
      <c r="B514" s="102" t="n"/>
      <c r="C514" s="94" t="n"/>
      <c r="D514" s="54" t="n"/>
      <c r="E514" s="54" t="n"/>
      <c r="F514" s="54" t="n"/>
      <c r="G514" s="54" t="n"/>
      <c r="H514" s="54" t="n"/>
      <c r="I514" s="54" t="n"/>
      <c r="J514" s="54" t="n"/>
      <c r="K514" s="54" t="n"/>
      <c r="L514" s="54" t="n"/>
      <c r="M514" s="54" t="n"/>
    </row>
    <row r="515" ht="15.75" customHeight="1" s="51">
      <c r="A515" s="102" t="n"/>
      <c r="B515" s="102" t="n"/>
      <c r="C515" s="94" t="n"/>
      <c r="D515" s="54" t="n"/>
      <c r="E515" s="54" t="n"/>
      <c r="F515" s="54" t="n"/>
      <c r="G515" s="54" t="n"/>
      <c r="H515" s="54" t="n"/>
      <c r="I515" s="54" t="n"/>
      <c r="J515" s="54" t="n"/>
      <c r="K515" s="54" t="n"/>
      <c r="L515" s="54" t="n"/>
      <c r="M515" s="54" t="n"/>
    </row>
    <row r="516" ht="15.75" customHeight="1" s="51">
      <c r="A516" s="102" t="n"/>
      <c r="B516" s="102" t="n"/>
      <c r="C516" s="94" t="n"/>
      <c r="D516" s="54" t="n"/>
      <c r="E516" s="54" t="n"/>
      <c r="F516" s="54" t="n"/>
      <c r="G516" s="54" t="n"/>
      <c r="H516" s="54" t="n"/>
      <c r="I516" s="54" t="n"/>
      <c r="J516" s="54" t="n"/>
      <c r="K516" s="54" t="n"/>
      <c r="L516" s="54" t="n"/>
      <c r="M516" s="54" t="n"/>
    </row>
    <row r="517" ht="15.75" customHeight="1" s="51">
      <c r="A517" s="102" t="n"/>
      <c r="B517" s="102" t="n"/>
      <c r="C517" s="94" t="n"/>
      <c r="D517" s="54" t="n"/>
      <c r="E517" s="54" t="n"/>
      <c r="F517" s="54" t="n"/>
      <c r="G517" s="54" t="n"/>
      <c r="H517" s="54" t="n"/>
      <c r="I517" s="54" t="n"/>
      <c r="J517" s="54" t="n"/>
      <c r="K517" s="54" t="n"/>
      <c r="L517" s="54" t="n"/>
      <c r="M517" s="54" t="n"/>
    </row>
    <row r="518" ht="15.75" customHeight="1" s="51">
      <c r="A518" s="102" t="n"/>
      <c r="B518" s="102" t="n"/>
      <c r="C518" s="94" t="n"/>
      <c r="D518" s="54" t="n"/>
      <c r="E518" s="54" t="n"/>
      <c r="F518" s="54" t="n"/>
      <c r="G518" s="54" t="n"/>
      <c r="H518" s="54" t="n"/>
      <c r="I518" s="54" t="n"/>
      <c r="J518" s="54" t="n"/>
      <c r="K518" s="54" t="n"/>
      <c r="L518" s="54" t="n"/>
      <c r="M518" s="54" t="n"/>
    </row>
    <row r="519" ht="15.75" customHeight="1" s="51">
      <c r="A519" s="102" t="n"/>
      <c r="B519" s="102" t="n"/>
      <c r="C519" s="94" t="n"/>
      <c r="D519" s="54" t="n"/>
      <c r="E519" s="54" t="n"/>
      <c r="F519" s="54" t="n"/>
      <c r="G519" s="54" t="n"/>
      <c r="H519" s="54" t="n"/>
      <c r="I519" s="54" t="n"/>
      <c r="J519" s="54" t="n"/>
      <c r="K519" s="54" t="n"/>
      <c r="L519" s="54" t="n"/>
      <c r="M519" s="54" t="n"/>
    </row>
    <row r="520" ht="15.75" customHeight="1" s="51">
      <c r="A520" s="102" t="n"/>
      <c r="B520" s="102" t="n"/>
      <c r="C520" s="94" t="n"/>
      <c r="D520" s="54" t="n"/>
      <c r="E520" s="54" t="n"/>
      <c r="F520" s="54" t="n"/>
      <c r="G520" s="54" t="n"/>
      <c r="H520" s="54" t="n"/>
      <c r="I520" s="54" t="n"/>
      <c r="J520" s="54" t="n"/>
      <c r="K520" s="54" t="n"/>
      <c r="L520" s="54" t="n"/>
      <c r="M520" s="54" t="n"/>
    </row>
    <row r="521" ht="15.75" customHeight="1" s="51">
      <c r="A521" s="102" t="n"/>
      <c r="B521" s="102" t="n"/>
      <c r="C521" s="94" t="n"/>
      <c r="D521" s="54" t="n"/>
      <c r="E521" s="54" t="n"/>
      <c r="F521" s="54" t="n"/>
      <c r="G521" s="54" t="n"/>
      <c r="H521" s="54" t="n"/>
      <c r="I521" s="54" t="n"/>
      <c r="J521" s="54" t="n"/>
      <c r="K521" s="54" t="n"/>
      <c r="L521" s="54" t="n"/>
      <c r="M521" s="54" t="n"/>
    </row>
    <row r="522" ht="15.75" customHeight="1" s="51">
      <c r="A522" s="102" t="n"/>
      <c r="B522" s="102" t="n"/>
      <c r="C522" s="94" t="n"/>
      <c r="D522" s="54" t="n"/>
      <c r="E522" s="54" t="n"/>
      <c r="F522" s="54" t="n"/>
      <c r="G522" s="54" t="n"/>
      <c r="H522" s="54" t="n"/>
      <c r="I522" s="54" t="n"/>
      <c r="J522" s="54" t="n"/>
      <c r="K522" s="54" t="n"/>
      <c r="L522" s="54" t="n"/>
      <c r="M522" s="54" t="n"/>
    </row>
    <row r="523" ht="15.75" customHeight="1" s="51">
      <c r="A523" s="102" t="n"/>
      <c r="B523" s="102" t="n"/>
      <c r="C523" s="94" t="n"/>
      <c r="D523" s="54" t="n"/>
      <c r="E523" s="54" t="n"/>
      <c r="F523" s="54" t="n"/>
      <c r="G523" s="54" t="n"/>
      <c r="H523" s="54" t="n"/>
      <c r="I523" s="54" t="n"/>
      <c r="J523" s="54" t="n"/>
      <c r="K523" s="54" t="n"/>
      <c r="L523" s="54" t="n"/>
      <c r="M523" s="54" t="n"/>
    </row>
    <row r="524" ht="15.75" customHeight="1" s="51">
      <c r="A524" s="102" t="n"/>
      <c r="B524" s="102" t="n"/>
      <c r="C524" s="94" t="n"/>
      <c r="D524" s="54" t="n"/>
      <c r="E524" s="54" t="n"/>
      <c r="F524" s="54" t="n"/>
      <c r="G524" s="54" t="n"/>
      <c r="H524" s="54" t="n"/>
      <c r="I524" s="54" t="n"/>
      <c r="J524" s="54" t="n"/>
      <c r="K524" s="54" t="n"/>
      <c r="L524" s="54" t="n"/>
      <c r="M524" s="54" t="n"/>
    </row>
    <row r="525" ht="15.75" customHeight="1" s="51">
      <c r="A525" s="102" t="n"/>
      <c r="B525" s="102" t="n"/>
      <c r="C525" s="94" t="n"/>
      <c r="D525" s="54" t="n"/>
      <c r="E525" s="54" t="n"/>
      <c r="F525" s="54" t="n"/>
      <c r="G525" s="54" t="n"/>
      <c r="H525" s="54" t="n"/>
      <c r="I525" s="54" t="n"/>
      <c r="J525" s="54" t="n"/>
      <c r="K525" s="54" t="n"/>
      <c r="L525" s="54" t="n"/>
      <c r="M525" s="54" t="n"/>
    </row>
    <row r="526" ht="15.75" customHeight="1" s="51">
      <c r="A526" s="102" t="n"/>
      <c r="B526" s="102" t="n"/>
      <c r="C526" s="94" t="n"/>
      <c r="D526" s="54" t="n"/>
      <c r="E526" s="54" t="n"/>
      <c r="F526" s="54" t="n"/>
      <c r="G526" s="54" t="n"/>
      <c r="H526" s="54" t="n"/>
      <c r="I526" s="54" t="n"/>
      <c r="J526" s="54" t="n"/>
      <c r="K526" s="54" t="n"/>
      <c r="L526" s="54" t="n"/>
      <c r="M526" s="54" t="n"/>
    </row>
    <row r="527" ht="15.75" customHeight="1" s="51">
      <c r="A527" s="102" t="n"/>
      <c r="B527" s="102" t="n"/>
      <c r="C527" s="94" t="n"/>
      <c r="D527" s="54" t="n"/>
      <c r="E527" s="54" t="n"/>
      <c r="F527" s="54" t="n"/>
      <c r="G527" s="54" t="n"/>
      <c r="H527" s="54" t="n"/>
      <c r="I527" s="54" t="n"/>
      <c r="J527" s="54" t="n"/>
      <c r="K527" s="54" t="n"/>
      <c r="L527" s="54" t="n"/>
      <c r="M527" s="54" t="n"/>
    </row>
    <row r="528" ht="15.75" customHeight="1" s="51">
      <c r="A528" s="102" t="n"/>
      <c r="B528" s="102" t="n"/>
      <c r="C528" s="94" t="n"/>
      <c r="D528" s="54" t="n"/>
      <c r="E528" s="54" t="n"/>
      <c r="F528" s="54" t="n"/>
      <c r="G528" s="54" t="n"/>
      <c r="H528" s="54" t="n"/>
      <c r="I528" s="54" t="n"/>
      <c r="J528" s="54" t="n"/>
      <c r="K528" s="54" t="n"/>
      <c r="L528" s="54" t="n"/>
      <c r="M528" s="54" t="n"/>
    </row>
    <row r="529" ht="15.75" customHeight="1" s="51">
      <c r="A529" s="102" t="n"/>
      <c r="B529" s="102" t="n"/>
      <c r="C529" s="94" t="n"/>
      <c r="D529" s="54" t="n"/>
      <c r="E529" s="54" t="n"/>
      <c r="F529" s="54" t="n"/>
      <c r="G529" s="54" t="n"/>
      <c r="H529" s="54" t="n"/>
      <c r="I529" s="54" t="n"/>
      <c r="J529" s="54" t="n"/>
      <c r="K529" s="54" t="n"/>
      <c r="L529" s="54" t="n"/>
      <c r="M529" s="54" t="n"/>
    </row>
    <row r="530" ht="15.75" customHeight="1" s="51">
      <c r="A530" s="102" t="n"/>
      <c r="B530" s="102" t="n"/>
      <c r="C530" s="94" t="n"/>
      <c r="D530" s="54" t="n"/>
      <c r="E530" s="54" t="n"/>
      <c r="F530" s="54" t="n"/>
      <c r="G530" s="54" t="n"/>
      <c r="H530" s="54" t="n"/>
      <c r="I530" s="54" t="n"/>
      <c r="J530" s="54" t="n"/>
      <c r="K530" s="54" t="n"/>
      <c r="L530" s="54" t="n"/>
      <c r="M530" s="54" t="n"/>
    </row>
    <row r="531" ht="15.75" customHeight="1" s="51">
      <c r="A531" s="102" t="n"/>
      <c r="B531" s="102" t="n"/>
      <c r="C531" s="94" t="n"/>
      <c r="D531" s="54" t="n"/>
      <c r="E531" s="54" t="n"/>
      <c r="F531" s="54" t="n"/>
      <c r="G531" s="54" t="n"/>
      <c r="H531" s="54" t="n"/>
      <c r="I531" s="54" t="n"/>
      <c r="J531" s="54" t="n"/>
      <c r="K531" s="54" t="n"/>
      <c r="L531" s="54" t="n"/>
      <c r="M531" s="54" t="n"/>
    </row>
    <row r="532" ht="15.75" customHeight="1" s="51">
      <c r="A532" s="102" t="n"/>
      <c r="B532" s="102" t="n"/>
      <c r="C532" s="94" t="n"/>
      <c r="D532" s="54" t="n"/>
      <c r="E532" s="54" t="n"/>
      <c r="F532" s="54" t="n"/>
      <c r="G532" s="54" t="n"/>
      <c r="H532" s="54" t="n"/>
      <c r="I532" s="54" t="n"/>
      <c r="J532" s="54" t="n"/>
      <c r="K532" s="54" t="n"/>
      <c r="L532" s="54" t="n"/>
      <c r="M532" s="54" t="n"/>
    </row>
    <row r="533" ht="15.75" customHeight="1" s="51">
      <c r="A533" s="102" t="n"/>
      <c r="B533" s="102" t="n"/>
      <c r="C533" s="94" t="n"/>
      <c r="D533" s="54" t="n"/>
      <c r="E533" s="54" t="n"/>
      <c r="F533" s="54" t="n"/>
      <c r="G533" s="54" t="n"/>
      <c r="H533" s="54" t="n"/>
      <c r="I533" s="54" t="n"/>
      <c r="J533" s="54" t="n"/>
      <c r="K533" s="54" t="n"/>
      <c r="L533" s="54" t="n"/>
      <c r="M533" s="54" t="n"/>
    </row>
    <row r="534" ht="15.75" customHeight="1" s="51">
      <c r="A534" s="102" t="n"/>
      <c r="B534" s="102" t="n"/>
      <c r="C534" s="94" t="n"/>
      <c r="D534" s="54" t="n"/>
      <c r="E534" s="54" t="n"/>
      <c r="F534" s="54" t="n"/>
      <c r="G534" s="54" t="n"/>
      <c r="H534" s="54" t="n"/>
      <c r="I534" s="54" t="n"/>
      <c r="J534" s="54" t="n"/>
      <c r="K534" s="54" t="n"/>
      <c r="L534" s="54" t="n"/>
      <c r="M534" s="54" t="n"/>
    </row>
    <row r="535" ht="15.75" customHeight="1" s="51">
      <c r="A535" s="102" t="n"/>
      <c r="B535" s="102" t="n"/>
      <c r="C535" s="94" t="n"/>
      <c r="D535" s="54" t="n"/>
      <c r="E535" s="54" t="n"/>
      <c r="F535" s="54" t="n"/>
      <c r="G535" s="54" t="n"/>
      <c r="H535" s="54" t="n"/>
      <c r="I535" s="54" t="n"/>
      <c r="J535" s="54" t="n"/>
      <c r="K535" s="54" t="n"/>
      <c r="L535" s="54" t="n"/>
      <c r="M535" s="54" t="n"/>
    </row>
    <row r="536" ht="15.75" customHeight="1" s="51">
      <c r="A536" s="102" t="n"/>
      <c r="B536" s="102" t="n"/>
      <c r="C536" s="94" t="n"/>
      <c r="D536" s="54" t="n"/>
      <c r="E536" s="54" t="n"/>
      <c r="F536" s="54" t="n"/>
      <c r="G536" s="54" t="n"/>
      <c r="H536" s="54" t="n"/>
      <c r="I536" s="54" t="n"/>
      <c r="J536" s="54" t="n"/>
      <c r="K536" s="54" t="n"/>
      <c r="L536" s="54" t="n"/>
      <c r="M536" s="54" t="n"/>
    </row>
    <row r="537" ht="15.75" customHeight="1" s="51">
      <c r="A537" s="102" t="n"/>
      <c r="B537" s="102" t="n"/>
      <c r="C537" s="94" t="n"/>
      <c r="D537" s="54" t="n"/>
      <c r="E537" s="54" t="n"/>
      <c r="F537" s="54" t="n"/>
      <c r="G537" s="54" t="n"/>
      <c r="H537" s="54" t="n"/>
      <c r="I537" s="54" t="n"/>
      <c r="J537" s="54" t="n"/>
      <c r="K537" s="54" t="n"/>
      <c r="L537" s="54" t="n"/>
      <c r="M537" s="54" t="n"/>
    </row>
    <row r="538" ht="15.75" customHeight="1" s="51">
      <c r="A538" s="102" t="n"/>
      <c r="B538" s="102" t="n"/>
      <c r="C538" s="94" t="n"/>
      <c r="D538" s="54" t="n"/>
      <c r="E538" s="54" t="n"/>
      <c r="F538" s="54" t="n"/>
      <c r="G538" s="54" t="n"/>
      <c r="H538" s="54" t="n"/>
      <c r="I538" s="54" t="n"/>
      <c r="J538" s="54" t="n"/>
      <c r="K538" s="54" t="n"/>
      <c r="L538" s="54" t="n"/>
      <c r="M538" s="54" t="n"/>
    </row>
    <row r="539" ht="15.75" customHeight="1" s="51">
      <c r="A539" s="102" t="n"/>
      <c r="B539" s="102" t="n"/>
      <c r="C539" s="94" t="n"/>
      <c r="D539" s="54" t="n"/>
      <c r="E539" s="54" t="n"/>
      <c r="F539" s="54" t="n"/>
      <c r="G539" s="54" t="n"/>
      <c r="H539" s="54" t="n"/>
      <c r="I539" s="54" t="n"/>
      <c r="J539" s="54" t="n"/>
      <c r="K539" s="54" t="n"/>
      <c r="L539" s="54" t="n"/>
      <c r="M539" s="54" t="n"/>
    </row>
    <row r="540" ht="15.75" customHeight="1" s="51">
      <c r="A540" s="102" t="n"/>
      <c r="B540" s="102" t="n"/>
      <c r="C540" s="94" t="n"/>
      <c r="D540" s="54" t="n"/>
      <c r="E540" s="54" t="n"/>
      <c r="F540" s="54" t="n"/>
      <c r="G540" s="54" t="n"/>
      <c r="H540" s="54" t="n"/>
      <c r="I540" s="54" t="n"/>
      <c r="J540" s="54" t="n"/>
      <c r="K540" s="54" t="n"/>
      <c r="L540" s="54" t="n"/>
      <c r="M540" s="54" t="n"/>
    </row>
    <row r="541" ht="15.75" customHeight="1" s="51">
      <c r="A541" s="102" t="n"/>
      <c r="B541" s="102" t="n"/>
      <c r="C541" s="94" t="n"/>
      <c r="D541" s="54" t="n"/>
      <c r="E541" s="54" t="n"/>
      <c r="F541" s="54" t="n"/>
      <c r="G541" s="54" t="n"/>
      <c r="H541" s="54" t="n"/>
      <c r="I541" s="54" t="n"/>
      <c r="J541" s="54" t="n"/>
      <c r="K541" s="54" t="n"/>
      <c r="L541" s="54" t="n"/>
      <c r="M541" s="54" t="n"/>
    </row>
    <row r="542" ht="15.75" customHeight="1" s="51">
      <c r="A542" s="102" t="n"/>
      <c r="B542" s="102" t="n"/>
      <c r="C542" s="94" t="n"/>
      <c r="D542" s="54" t="n"/>
      <c r="E542" s="54" t="n"/>
      <c r="F542" s="54" t="n"/>
      <c r="G542" s="54" t="n"/>
      <c r="H542" s="54" t="n"/>
      <c r="I542" s="54" t="n"/>
      <c r="J542" s="54" t="n"/>
      <c r="K542" s="54" t="n"/>
      <c r="L542" s="54" t="n"/>
      <c r="M542" s="54" t="n"/>
    </row>
    <row r="543" ht="15.75" customHeight="1" s="51">
      <c r="A543" s="102" t="n"/>
      <c r="B543" s="102" t="n"/>
      <c r="C543" s="94" t="n"/>
      <c r="D543" s="54" t="n"/>
      <c r="E543" s="54" t="n"/>
      <c r="F543" s="54" t="n"/>
      <c r="G543" s="54" t="n"/>
      <c r="H543" s="54" t="n"/>
      <c r="I543" s="54" t="n"/>
      <c r="J543" s="54" t="n"/>
      <c r="K543" s="54" t="n"/>
      <c r="L543" s="54" t="n"/>
      <c r="M543" s="54" t="n"/>
    </row>
    <row r="544" ht="15.75" customHeight="1" s="51">
      <c r="A544" s="102" t="n"/>
      <c r="B544" s="102" t="n"/>
      <c r="C544" s="94" t="n"/>
      <c r="D544" s="54" t="n"/>
      <c r="E544" s="54" t="n"/>
      <c r="F544" s="54" t="n"/>
      <c r="G544" s="54" t="n"/>
      <c r="H544" s="54" t="n"/>
      <c r="I544" s="54" t="n"/>
      <c r="J544" s="54" t="n"/>
      <c r="K544" s="54" t="n"/>
      <c r="L544" s="54" t="n"/>
      <c r="M544" s="54" t="n"/>
    </row>
    <row r="545" ht="15.75" customHeight="1" s="51">
      <c r="A545" s="102" t="n"/>
      <c r="B545" s="102" t="n"/>
      <c r="C545" s="94" t="n"/>
      <c r="D545" s="54" t="n"/>
      <c r="E545" s="54" t="n"/>
      <c r="F545" s="54" t="n"/>
      <c r="G545" s="54" t="n"/>
      <c r="H545" s="54" t="n"/>
      <c r="I545" s="54" t="n"/>
      <c r="J545" s="54" t="n"/>
      <c r="K545" s="54" t="n"/>
      <c r="L545" s="54" t="n"/>
      <c r="M545" s="54" t="n"/>
    </row>
    <row r="546" ht="15.75" customHeight="1" s="51">
      <c r="A546" s="102" t="n"/>
      <c r="B546" s="102" t="n"/>
      <c r="C546" s="94" t="n"/>
      <c r="D546" s="54" t="n"/>
      <c r="E546" s="54" t="n"/>
      <c r="F546" s="54" t="n"/>
      <c r="G546" s="54" t="n"/>
      <c r="H546" s="54" t="n"/>
      <c r="I546" s="54" t="n"/>
      <c r="J546" s="54" t="n"/>
      <c r="K546" s="54" t="n"/>
      <c r="L546" s="54" t="n"/>
      <c r="M546" s="54" t="n"/>
    </row>
    <row r="547" ht="15.75" customHeight="1" s="51">
      <c r="A547" s="102" t="n"/>
      <c r="B547" s="102" t="n"/>
      <c r="C547" s="94" t="n"/>
      <c r="D547" s="54" t="n"/>
      <c r="E547" s="54" t="n"/>
      <c r="F547" s="54" t="n"/>
      <c r="G547" s="54" t="n"/>
      <c r="H547" s="54" t="n"/>
      <c r="I547" s="54" t="n"/>
      <c r="J547" s="54" t="n"/>
      <c r="K547" s="54" t="n"/>
      <c r="L547" s="54" t="n"/>
      <c r="M547" s="54" t="n"/>
    </row>
    <row r="548" ht="15.75" customHeight="1" s="51">
      <c r="A548" s="102" t="n"/>
      <c r="B548" s="102" t="n"/>
      <c r="C548" s="94" t="n"/>
      <c r="D548" s="54" t="n"/>
      <c r="E548" s="54" t="n"/>
      <c r="F548" s="54" t="n"/>
      <c r="G548" s="54" t="n"/>
      <c r="H548" s="54" t="n"/>
      <c r="I548" s="54" t="n"/>
      <c r="J548" s="54" t="n"/>
      <c r="K548" s="54" t="n"/>
      <c r="L548" s="54" t="n"/>
      <c r="M548" s="54" t="n"/>
    </row>
    <row r="549" ht="15.75" customHeight="1" s="51">
      <c r="A549" s="102" t="n"/>
      <c r="B549" s="102" t="n"/>
      <c r="C549" s="94" t="n"/>
      <c r="D549" s="54" t="n"/>
      <c r="E549" s="54" t="n"/>
      <c r="F549" s="54" t="n"/>
      <c r="G549" s="54" t="n"/>
      <c r="H549" s="54" t="n"/>
      <c r="I549" s="54" t="n"/>
      <c r="J549" s="54" t="n"/>
      <c r="K549" s="54" t="n"/>
      <c r="L549" s="54" t="n"/>
      <c r="M549" s="54" t="n"/>
    </row>
    <row r="550" ht="15.75" customHeight="1" s="51">
      <c r="A550" s="102" t="n"/>
      <c r="B550" s="102" t="n"/>
      <c r="C550" s="94" t="n"/>
      <c r="D550" s="54" t="n"/>
      <c r="E550" s="54" t="n"/>
      <c r="F550" s="54" t="n"/>
      <c r="G550" s="54" t="n"/>
      <c r="H550" s="54" t="n"/>
      <c r="I550" s="54" t="n"/>
      <c r="J550" s="54" t="n"/>
      <c r="K550" s="54" t="n"/>
      <c r="L550" s="54" t="n"/>
      <c r="M550" s="54" t="n"/>
    </row>
    <row r="551" ht="15.75" customHeight="1" s="51">
      <c r="A551" s="102" t="n"/>
      <c r="B551" s="102" t="n"/>
      <c r="C551" s="94" t="n"/>
      <c r="D551" s="54" t="n"/>
      <c r="E551" s="54" t="n"/>
      <c r="F551" s="54" t="n"/>
      <c r="G551" s="54" t="n"/>
      <c r="H551" s="54" t="n"/>
      <c r="I551" s="54" t="n"/>
      <c r="J551" s="54" t="n"/>
      <c r="K551" s="54" t="n"/>
      <c r="L551" s="54" t="n"/>
      <c r="M551" s="54" t="n"/>
    </row>
    <row r="552" ht="15.75" customHeight="1" s="51">
      <c r="A552" s="102" t="n"/>
      <c r="B552" s="102" t="n"/>
      <c r="C552" s="94" t="n"/>
      <c r="D552" s="54" t="n"/>
      <c r="E552" s="54" t="n"/>
      <c r="F552" s="54" t="n"/>
      <c r="G552" s="54" t="n"/>
      <c r="H552" s="54" t="n"/>
      <c r="I552" s="54" t="n"/>
      <c r="J552" s="54" t="n"/>
      <c r="K552" s="54" t="n"/>
      <c r="L552" s="54" t="n"/>
      <c r="M552" s="54" t="n"/>
    </row>
    <row r="553" ht="15.75" customHeight="1" s="51">
      <c r="A553" s="102" t="n"/>
      <c r="B553" s="102" t="n"/>
      <c r="C553" s="94" t="n"/>
      <c r="D553" s="54" t="n"/>
      <c r="E553" s="54" t="n"/>
      <c r="F553" s="54" t="n"/>
      <c r="G553" s="54" t="n"/>
      <c r="H553" s="54" t="n"/>
      <c r="I553" s="54" t="n"/>
      <c r="J553" s="54" t="n"/>
      <c r="K553" s="54" t="n"/>
      <c r="L553" s="54" t="n"/>
      <c r="M553" s="54" t="n"/>
    </row>
    <row r="554" ht="15.75" customHeight="1" s="51">
      <c r="A554" s="102" t="n"/>
      <c r="B554" s="102" t="n"/>
      <c r="C554" s="94" t="n"/>
      <c r="D554" s="54" t="n"/>
      <c r="E554" s="54" t="n"/>
      <c r="F554" s="54" t="n"/>
      <c r="G554" s="54" t="n"/>
      <c r="H554" s="54" t="n"/>
      <c r="I554" s="54" t="n"/>
      <c r="J554" s="54" t="n"/>
      <c r="K554" s="54" t="n"/>
      <c r="L554" s="54" t="n"/>
      <c r="M554" s="54" t="n"/>
    </row>
    <row r="555" ht="15.75" customHeight="1" s="51">
      <c r="A555" s="102" t="n"/>
      <c r="B555" s="102" t="n"/>
      <c r="C555" s="94" t="n"/>
      <c r="D555" s="54" t="n"/>
      <c r="E555" s="54" t="n"/>
      <c r="F555" s="54" t="n"/>
      <c r="G555" s="54" t="n"/>
      <c r="H555" s="54" t="n"/>
      <c r="I555" s="54" t="n"/>
      <c r="J555" s="54" t="n"/>
      <c r="K555" s="54" t="n"/>
      <c r="L555" s="54" t="n"/>
      <c r="M555" s="54" t="n"/>
    </row>
    <row r="556" ht="15.75" customHeight="1" s="51">
      <c r="A556" s="102" t="n"/>
      <c r="B556" s="102" t="n"/>
      <c r="C556" s="94" t="n"/>
      <c r="D556" s="54" t="n"/>
      <c r="E556" s="54" t="n"/>
      <c r="F556" s="54" t="n"/>
      <c r="G556" s="54" t="n"/>
      <c r="H556" s="54" t="n"/>
      <c r="I556" s="54" t="n"/>
      <c r="J556" s="54" t="n"/>
      <c r="K556" s="54" t="n"/>
      <c r="L556" s="54" t="n"/>
      <c r="M556" s="54" t="n"/>
    </row>
    <row r="557" ht="15.75" customHeight="1" s="51">
      <c r="A557" s="102" t="n"/>
      <c r="B557" s="102" t="n"/>
      <c r="C557" s="94" t="n"/>
      <c r="D557" s="54" t="n"/>
      <c r="E557" s="54" t="n"/>
      <c r="F557" s="54" t="n"/>
      <c r="G557" s="54" t="n"/>
      <c r="H557" s="54" t="n"/>
      <c r="I557" s="54" t="n"/>
      <c r="J557" s="54" t="n"/>
      <c r="K557" s="54" t="n"/>
      <c r="L557" s="54" t="n"/>
      <c r="M557" s="54" t="n"/>
    </row>
    <row r="558" ht="15.75" customHeight="1" s="51">
      <c r="A558" s="102" t="n"/>
      <c r="B558" s="102" t="n"/>
      <c r="C558" s="94" t="n"/>
      <c r="D558" s="54" t="n"/>
      <c r="E558" s="54" t="n"/>
      <c r="F558" s="54" t="n"/>
      <c r="G558" s="54" t="n"/>
      <c r="H558" s="54" t="n"/>
      <c r="I558" s="54" t="n"/>
      <c r="J558" s="54" t="n"/>
      <c r="K558" s="54" t="n"/>
      <c r="L558" s="54" t="n"/>
      <c r="M558" s="54" t="n"/>
    </row>
    <row r="559" ht="15.75" customHeight="1" s="51">
      <c r="A559" s="102" t="n"/>
      <c r="B559" s="102" t="n"/>
      <c r="C559" s="94" t="n"/>
      <c r="D559" s="54" t="n"/>
      <c r="E559" s="54" t="n"/>
      <c r="F559" s="54" t="n"/>
      <c r="G559" s="54" t="n"/>
      <c r="H559" s="54" t="n"/>
      <c r="I559" s="54" t="n"/>
      <c r="J559" s="54" t="n"/>
      <c r="K559" s="54" t="n"/>
      <c r="L559" s="54" t="n"/>
      <c r="M559" s="54" t="n"/>
    </row>
    <row r="560" ht="15.75" customHeight="1" s="51">
      <c r="A560" s="102" t="n"/>
      <c r="B560" s="102" t="n"/>
      <c r="C560" s="94" t="n"/>
      <c r="D560" s="54" t="n"/>
      <c r="E560" s="54" t="n"/>
      <c r="F560" s="54" t="n"/>
      <c r="G560" s="54" t="n"/>
      <c r="H560" s="54" t="n"/>
      <c r="I560" s="54" t="n"/>
      <c r="J560" s="54" t="n"/>
      <c r="K560" s="54" t="n"/>
      <c r="L560" s="54" t="n"/>
      <c r="M560" s="54" t="n"/>
    </row>
    <row r="561" ht="15.75" customHeight="1" s="51">
      <c r="A561" s="102" t="n"/>
      <c r="B561" s="102" t="n"/>
      <c r="C561" s="94" t="n"/>
      <c r="D561" s="54" t="n"/>
      <c r="E561" s="54" t="n"/>
      <c r="F561" s="54" t="n"/>
      <c r="G561" s="54" t="n"/>
      <c r="H561" s="54" t="n"/>
      <c r="I561" s="54" t="n"/>
      <c r="J561" s="54" t="n"/>
      <c r="K561" s="54" t="n"/>
      <c r="L561" s="54" t="n"/>
      <c r="M561" s="54" t="n"/>
    </row>
    <row r="562" ht="15.75" customHeight="1" s="51">
      <c r="A562" s="102" t="n"/>
      <c r="B562" s="102" t="n"/>
      <c r="C562" s="94" t="n"/>
      <c r="D562" s="54" t="n"/>
      <c r="E562" s="54" t="n"/>
      <c r="F562" s="54" t="n"/>
      <c r="G562" s="54" t="n"/>
      <c r="H562" s="54" t="n"/>
      <c r="I562" s="54" t="n"/>
      <c r="J562" s="54" t="n"/>
      <c r="K562" s="54" t="n"/>
      <c r="L562" s="54" t="n"/>
      <c r="M562" s="54" t="n"/>
    </row>
    <row r="563" ht="15.75" customHeight="1" s="51">
      <c r="A563" s="102" t="n"/>
      <c r="B563" s="102" t="n"/>
      <c r="C563" s="94" t="n"/>
      <c r="D563" s="54" t="n"/>
      <c r="E563" s="54" t="n"/>
      <c r="F563" s="54" t="n"/>
      <c r="G563" s="54" t="n"/>
      <c r="H563" s="54" t="n"/>
      <c r="I563" s="54" t="n"/>
      <c r="J563" s="54" t="n"/>
      <c r="K563" s="54" t="n"/>
      <c r="L563" s="54" t="n"/>
      <c r="M563" s="54" t="n"/>
    </row>
    <row r="564" ht="15.75" customHeight="1" s="51">
      <c r="A564" s="102" t="n"/>
      <c r="B564" s="102" t="n"/>
      <c r="C564" s="94" t="n"/>
      <c r="D564" s="54" t="n"/>
      <c r="E564" s="54" t="n"/>
      <c r="F564" s="54" t="n"/>
      <c r="G564" s="54" t="n"/>
      <c r="H564" s="54" t="n"/>
      <c r="I564" s="54" t="n"/>
      <c r="J564" s="54" t="n"/>
      <c r="K564" s="54" t="n"/>
      <c r="L564" s="54" t="n"/>
      <c r="M564" s="54" t="n"/>
    </row>
    <row r="565" ht="15.75" customHeight="1" s="51">
      <c r="A565" s="102" t="n"/>
      <c r="B565" s="102" t="n"/>
      <c r="C565" s="94" t="n"/>
      <c r="D565" s="54" t="n"/>
      <c r="E565" s="54" t="n"/>
      <c r="F565" s="54" t="n"/>
      <c r="G565" s="54" t="n"/>
      <c r="H565" s="54" t="n"/>
      <c r="I565" s="54" t="n"/>
      <c r="J565" s="54" t="n"/>
      <c r="K565" s="54" t="n"/>
      <c r="L565" s="54" t="n"/>
      <c r="M565" s="54" t="n"/>
    </row>
    <row r="566" ht="15.75" customHeight="1" s="51">
      <c r="A566" s="102" t="n"/>
      <c r="B566" s="102" t="n"/>
      <c r="C566" s="94" t="n"/>
      <c r="D566" s="54" t="n"/>
      <c r="E566" s="54" t="n"/>
      <c r="F566" s="54" t="n"/>
      <c r="G566" s="54" t="n"/>
      <c r="H566" s="54" t="n"/>
      <c r="I566" s="54" t="n"/>
      <c r="J566" s="54" t="n"/>
      <c r="K566" s="54" t="n"/>
      <c r="L566" s="54" t="n"/>
      <c r="M566" s="54" t="n"/>
    </row>
    <row r="567" ht="15.75" customHeight="1" s="51">
      <c r="A567" s="102" t="n"/>
      <c r="B567" s="102" t="n"/>
      <c r="C567" s="94" t="n"/>
      <c r="D567" s="54" t="n"/>
      <c r="E567" s="54" t="n"/>
      <c r="F567" s="54" t="n"/>
      <c r="G567" s="54" t="n"/>
      <c r="H567" s="54" t="n"/>
      <c r="I567" s="54" t="n"/>
      <c r="J567" s="54" t="n"/>
      <c r="K567" s="54" t="n"/>
      <c r="L567" s="54" t="n"/>
      <c r="M567" s="54" t="n"/>
    </row>
    <row r="568" ht="15.75" customHeight="1" s="51">
      <c r="A568" s="102" t="n"/>
      <c r="B568" s="102" t="n"/>
      <c r="C568" s="94" t="n"/>
      <c r="D568" s="54" t="n"/>
      <c r="E568" s="54" t="n"/>
      <c r="F568" s="54" t="n"/>
      <c r="G568" s="54" t="n"/>
      <c r="H568" s="54" t="n"/>
      <c r="I568" s="54" t="n"/>
      <c r="J568" s="54" t="n"/>
      <c r="K568" s="54" t="n"/>
      <c r="L568" s="54" t="n"/>
      <c r="M568" s="54" t="n"/>
    </row>
    <row r="569" ht="15.75" customHeight="1" s="51">
      <c r="A569" s="102" t="n"/>
      <c r="B569" s="102" t="n"/>
      <c r="C569" s="94" t="n"/>
      <c r="D569" s="54" t="n"/>
      <c r="E569" s="54" t="n"/>
      <c r="F569" s="54" t="n"/>
      <c r="G569" s="54" t="n"/>
      <c r="H569" s="54" t="n"/>
      <c r="I569" s="54" t="n"/>
      <c r="J569" s="54" t="n"/>
      <c r="K569" s="54" t="n"/>
      <c r="L569" s="54" t="n"/>
      <c r="M569" s="54" t="n"/>
    </row>
    <row r="570" ht="15.75" customHeight="1" s="51">
      <c r="A570" s="102" t="n"/>
      <c r="B570" s="102" t="n"/>
      <c r="C570" s="94" t="n"/>
      <c r="D570" s="54" t="n"/>
      <c r="E570" s="54" t="n"/>
      <c r="F570" s="54" t="n"/>
      <c r="G570" s="54" t="n"/>
      <c r="H570" s="54" t="n"/>
      <c r="I570" s="54" t="n"/>
      <c r="J570" s="54" t="n"/>
      <c r="K570" s="54" t="n"/>
      <c r="L570" s="54" t="n"/>
      <c r="M570" s="54" t="n"/>
    </row>
    <row r="571" ht="15.75" customHeight="1" s="51">
      <c r="A571" s="102" t="n"/>
      <c r="B571" s="102" t="n"/>
      <c r="C571" s="94" t="n"/>
      <c r="D571" s="54" t="n"/>
      <c r="E571" s="54" t="n"/>
      <c r="F571" s="54" t="n"/>
      <c r="G571" s="54" t="n"/>
      <c r="H571" s="54" t="n"/>
      <c r="I571" s="54" t="n"/>
      <c r="J571" s="54" t="n"/>
      <c r="K571" s="54" t="n"/>
      <c r="L571" s="54" t="n"/>
      <c r="M571" s="54" t="n"/>
    </row>
    <row r="572" ht="15.75" customHeight="1" s="51">
      <c r="A572" s="102" t="n"/>
      <c r="B572" s="102" t="n"/>
      <c r="C572" s="94" t="n"/>
      <c r="D572" s="54" t="n"/>
      <c r="E572" s="54" t="n"/>
      <c r="F572" s="54" t="n"/>
      <c r="G572" s="54" t="n"/>
      <c r="H572" s="54" t="n"/>
      <c r="I572" s="54" t="n"/>
      <c r="J572" s="54" t="n"/>
      <c r="K572" s="54" t="n"/>
      <c r="L572" s="54" t="n"/>
      <c r="M572" s="54" t="n"/>
    </row>
    <row r="573" ht="15.75" customHeight="1" s="51">
      <c r="A573" s="102" t="n"/>
      <c r="B573" s="102" t="n"/>
      <c r="C573" s="94" t="n"/>
      <c r="D573" s="54" t="n"/>
      <c r="E573" s="54" t="n"/>
      <c r="F573" s="54" t="n"/>
      <c r="G573" s="54" t="n"/>
      <c r="H573" s="54" t="n"/>
      <c r="I573" s="54" t="n"/>
      <c r="J573" s="54" t="n"/>
      <c r="K573" s="54" t="n"/>
      <c r="L573" s="54" t="n"/>
      <c r="M573" s="54" t="n"/>
    </row>
    <row r="574" ht="15.75" customHeight="1" s="51">
      <c r="A574" s="102" t="n"/>
      <c r="B574" s="102" t="n"/>
      <c r="C574" s="94" t="n"/>
      <c r="D574" s="54" t="n"/>
      <c r="E574" s="54" t="n"/>
      <c r="F574" s="54" t="n"/>
      <c r="G574" s="54" t="n"/>
      <c r="H574" s="54" t="n"/>
      <c r="I574" s="54" t="n"/>
      <c r="J574" s="54" t="n"/>
      <c r="K574" s="54" t="n"/>
      <c r="L574" s="54" t="n"/>
      <c r="M574" s="54" t="n"/>
    </row>
    <row r="575" ht="15.75" customHeight="1" s="51">
      <c r="A575" s="102" t="n"/>
      <c r="B575" s="102" t="n"/>
      <c r="C575" s="94" t="n"/>
      <c r="D575" s="54" t="n"/>
      <c r="E575" s="54" t="n"/>
      <c r="F575" s="54" t="n"/>
      <c r="G575" s="54" t="n"/>
      <c r="H575" s="54" t="n"/>
      <c r="I575" s="54" t="n"/>
      <c r="J575" s="54" t="n"/>
      <c r="K575" s="54" t="n"/>
      <c r="L575" s="54" t="n"/>
      <c r="M575" s="54" t="n"/>
    </row>
    <row r="576" ht="15.75" customHeight="1" s="51">
      <c r="A576" s="102" t="n"/>
      <c r="B576" s="102" t="n"/>
      <c r="C576" s="94" t="n"/>
      <c r="D576" s="54" t="n"/>
      <c r="E576" s="54" t="n"/>
      <c r="F576" s="54" t="n"/>
      <c r="G576" s="54" t="n"/>
      <c r="H576" s="54" t="n"/>
      <c r="I576" s="54" t="n"/>
      <c r="J576" s="54" t="n"/>
      <c r="K576" s="54" t="n"/>
      <c r="L576" s="54" t="n"/>
      <c r="M576" s="54" t="n"/>
    </row>
    <row r="577" ht="15.75" customHeight="1" s="51">
      <c r="A577" s="102" t="n"/>
      <c r="B577" s="102" t="n"/>
      <c r="C577" s="94" t="n"/>
      <c r="D577" s="54" t="n"/>
      <c r="E577" s="54" t="n"/>
      <c r="F577" s="54" t="n"/>
      <c r="G577" s="54" t="n"/>
      <c r="H577" s="54" t="n"/>
      <c r="I577" s="54" t="n"/>
      <c r="J577" s="54" t="n"/>
      <c r="K577" s="54" t="n"/>
      <c r="L577" s="54" t="n"/>
      <c r="M577" s="54" t="n"/>
    </row>
    <row r="578" ht="15.75" customHeight="1" s="51">
      <c r="A578" s="102" t="n"/>
      <c r="B578" s="102" t="n"/>
      <c r="C578" s="94" t="n"/>
      <c r="D578" s="54" t="n"/>
      <c r="E578" s="54" t="n"/>
      <c r="F578" s="54" t="n"/>
      <c r="G578" s="54" t="n"/>
      <c r="H578" s="54" t="n"/>
      <c r="I578" s="54" t="n"/>
      <c r="J578" s="54" t="n"/>
      <c r="K578" s="54" t="n"/>
      <c r="L578" s="54" t="n"/>
      <c r="M578" s="54" t="n"/>
    </row>
    <row r="579" ht="15.75" customHeight="1" s="51">
      <c r="A579" s="102" t="n"/>
      <c r="B579" s="102" t="n"/>
      <c r="C579" s="94" t="n"/>
      <c r="D579" s="54" t="n"/>
      <c r="E579" s="54" t="n"/>
      <c r="F579" s="54" t="n"/>
      <c r="G579" s="54" t="n"/>
      <c r="H579" s="54" t="n"/>
      <c r="I579" s="54" t="n"/>
      <c r="J579" s="54" t="n"/>
      <c r="K579" s="54" t="n"/>
      <c r="L579" s="54" t="n"/>
      <c r="M579" s="54" t="n"/>
    </row>
    <row r="580" ht="15.75" customHeight="1" s="51">
      <c r="A580" s="102" t="n"/>
      <c r="B580" s="102" t="n"/>
      <c r="C580" s="94" t="n"/>
      <c r="D580" s="54" t="n"/>
      <c r="E580" s="54" t="n"/>
      <c r="F580" s="54" t="n"/>
      <c r="G580" s="54" t="n"/>
      <c r="H580" s="54" t="n"/>
      <c r="I580" s="54" t="n"/>
      <c r="J580" s="54" t="n"/>
      <c r="K580" s="54" t="n"/>
      <c r="L580" s="54" t="n"/>
      <c r="M580" s="54" t="n"/>
    </row>
    <row r="581" ht="15.75" customHeight="1" s="51">
      <c r="A581" s="102" t="n"/>
      <c r="B581" s="102" t="n"/>
      <c r="C581" s="94" t="n"/>
      <c r="D581" s="54" t="n"/>
      <c r="E581" s="54" t="n"/>
      <c r="F581" s="54" t="n"/>
      <c r="G581" s="54" t="n"/>
      <c r="H581" s="54" t="n"/>
      <c r="I581" s="54" t="n"/>
      <c r="J581" s="54" t="n"/>
      <c r="K581" s="54" t="n"/>
      <c r="L581" s="54" t="n"/>
      <c r="M581" s="54" t="n"/>
    </row>
    <row r="582" ht="15.75" customHeight="1" s="51">
      <c r="A582" s="102" t="n"/>
      <c r="B582" s="102" t="n"/>
      <c r="C582" s="94" t="n"/>
      <c r="D582" s="54" t="n"/>
      <c r="E582" s="54" t="n"/>
      <c r="F582" s="54" t="n"/>
      <c r="G582" s="54" t="n"/>
      <c r="H582" s="54" t="n"/>
      <c r="I582" s="54" t="n"/>
      <c r="J582" s="54" t="n"/>
      <c r="K582" s="54" t="n"/>
      <c r="L582" s="54" t="n"/>
      <c r="M582" s="54" t="n"/>
    </row>
    <row r="583" ht="15.75" customHeight="1" s="51">
      <c r="A583" s="102" t="n"/>
      <c r="B583" s="102" t="n"/>
      <c r="C583" s="94" t="n"/>
      <c r="D583" s="54" t="n"/>
      <c r="E583" s="54" t="n"/>
      <c r="F583" s="54" t="n"/>
      <c r="G583" s="54" t="n"/>
      <c r="H583" s="54" t="n"/>
      <c r="I583" s="54" t="n"/>
      <c r="J583" s="54" t="n"/>
      <c r="K583" s="54" t="n"/>
      <c r="L583" s="54" t="n"/>
      <c r="M583" s="54" t="n"/>
    </row>
    <row r="584" ht="15.75" customHeight="1" s="51">
      <c r="A584" s="102" t="n"/>
      <c r="B584" s="102" t="n"/>
      <c r="C584" s="94" t="n"/>
      <c r="D584" s="54" t="n"/>
      <c r="E584" s="54" t="n"/>
      <c r="F584" s="54" t="n"/>
      <c r="G584" s="54" t="n"/>
      <c r="H584" s="54" t="n"/>
      <c r="I584" s="54" t="n"/>
      <c r="J584" s="54" t="n"/>
      <c r="K584" s="54" t="n"/>
      <c r="L584" s="54" t="n"/>
      <c r="M584" s="54" t="n"/>
    </row>
    <row r="585" ht="15.75" customHeight="1" s="51">
      <c r="A585" s="102" t="n"/>
      <c r="B585" s="102" t="n"/>
      <c r="C585" s="94" t="n"/>
      <c r="D585" s="54" t="n"/>
      <c r="E585" s="54" t="n"/>
      <c r="F585" s="54" t="n"/>
      <c r="G585" s="54" t="n"/>
      <c r="H585" s="54" t="n"/>
      <c r="I585" s="54" t="n"/>
      <c r="J585" s="54" t="n"/>
      <c r="K585" s="54" t="n"/>
      <c r="L585" s="54" t="n"/>
      <c r="M585" s="54" t="n"/>
    </row>
    <row r="586" ht="15.75" customHeight="1" s="51">
      <c r="A586" s="102" t="n"/>
      <c r="B586" s="102" t="n"/>
      <c r="C586" s="94" t="n"/>
      <c r="D586" s="54" t="n"/>
      <c r="E586" s="54" t="n"/>
      <c r="F586" s="54" t="n"/>
      <c r="G586" s="54" t="n"/>
      <c r="H586" s="54" t="n"/>
      <c r="I586" s="54" t="n"/>
      <c r="J586" s="54" t="n"/>
      <c r="K586" s="54" t="n"/>
      <c r="L586" s="54" t="n"/>
      <c r="M586" s="54" t="n"/>
    </row>
    <row r="587" ht="15.75" customHeight="1" s="51">
      <c r="A587" s="102" t="n"/>
      <c r="B587" s="102" t="n"/>
      <c r="C587" s="94" t="n"/>
      <c r="D587" s="54" t="n"/>
      <c r="E587" s="54" t="n"/>
      <c r="F587" s="54" t="n"/>
      <c r="G587" s="54" t="n"/>
      <c r="H587" s="54" t="n"/>
      <c r="I587" s="54" t="n"/>
      <c r="J587" s="54" t="n"/>
      <c r="K587" s="54" t="n"/>
      <c r="L587" s="54" t="n"/>
      <c r="M587" s="54" t="n"/>
    </row>
    <row r="588" ht="15.75" customHeight="1" s="51">
      <c r="A588" s="102" t="n"/>
      <c r="B588" s="102" t="n"/>
      <c r="C588" s="94" t="n"/>
      <c r="D588" s="54" t="n"/>
      <c r="E588" s="54" t="n"/>
      <c r="F588" s="54" t="n"/>
      <c r="G588" s="54" t="n"/>
      <c r="H588" s="54" t="n"/>
      <c r="I588" s="54" t="n"/>
      <c r="J588" s="54" t="n"/>
      <c r="K588" s="54" t="n"/>
      <c r="L588" s="54" t="n"/>
      <c r="M588" s="54" t="n"/>
    </row>
    <row r="589" ht="15.75" customHeight="1" s="51">
      <c r="A589" s="102" t="n"/>
      <c r="B589" s="102" t="n"/>
      <c r="C589" s="94" t="n"/>
      <c r="D589" s="54" t="n"/>
      <c r="E589" s="54" t="n"/>
      <c r="F589" s="54" t="n"/>
      <c r="G589" s="54" t="n"/>
      <c r="H589" s="54" t="n"/>
      <c r="I589" s="54" t="n"/>
      <c r="J589" s="54" t="n"/>
      <c r="K589" s="54" t="n"/>
      <c r="L589" s="54" t="n"/>
      <c r="M589" s="54" t="n"/>
    </row>
    <row r="590" ht="15.75" customHeight="1" s="51">
      <c r="A590" s="102" t="n"/>
      <c r="B590" s="102" t="n"/>
      <c r="C590" s="94" t="n"/>
      <c r="D590" s="54" t="n"/>
      <c r="E590" s="54" t="n"/>
      <c r="F590" s="54" t="n"/>
      <c r="G590" s="54" t="n"/>
      <c r="H590" s="54" t="n"/>
      <c r="I590" s="54" t="n"/>
      <c r="J590" s="54" t="n"/>
      <c r="K590" s="54" t="n"/>
      <c r="L590" s="54" t="n"/>
      <c r="M590" s="54" t="n"/>
    </row>
    <row r="591" ht="15.75" customHeight="1" s="51">
      <c r="A591" s="102" t="n"/>
      <c r="B591" s="102" t="n"/>
      <c r="C591" s="94" t="n"/>
      <c r="D591" s="54" t="n"/>
      <c r="E591" s="54" t="n"/>
      <c r="F591" s="54" t="n"/>
      <c r="G591" s="54" t="n"/>
      <c r="H591" s="54" t="n"/>
      <c r="I591" s="54" t="n"/>
      <c r="J591" s="54" t="n"/>
      <c r="K591" s="54" t="n"/>
      <c r="L591" s="54" t="n"/>
      <c r="M591" s="54" t="n"/>
    </row>
    <row r="592" ht="15.75" customHeight="1" s="51">
      <c r="A592" s="102" t="n"/>
      <c r="B592" s="102" t="n"/>
      <c r="C592" s="94" t="n"/>
      <c r="D592" s="54" t="n"/>
      <c r="E592" s="54" t="n"/>
      <c r="F592" s="54" t="n"/>
      <c r="G592" s="54" t="n"/>
      <c r="H592" s="54" t="n"/>
      <c r="I592" s="54" t="n"/>
      <c r="J592" s="54" t="n"/>
      <c r="K592" s="54" t="n"/>
      <c r="L592" s="54" t="n"/>
      <c r="M592" s="54" t="n"/>
    </row>
    <row r="593" ht="15.75" customHeight="1" s="51">
      <c r="A593" s="102" t="n"/>
      <c r="B593" s="102" t="n"/>
      <c r="C593" s="94" t="n"/>
      <c r="D593" s="54" t="n"/>
      <c r="E593" s="54" t="n"/>
      <c r="F593" s="54" t="n"/>
      <c r="G593" s="54" t="n"/>
      <c r="H593" s="54" t="n"/>
      <c r="I593" s="54" t="n"/>
      <c r="J593" s="54" t="n"/>
      <c r="K593" s="54" t="n"/>
      <c r="L593" s="54" t="n"/>
      <c r="M593" s="54" t="n"/>
    </row>
    <row r="594" ht="15.75" customHeight="1" s="51">
      <c r="A594" s="102" t="n"/>
      <c r="B594" s="102" t="n"/>
      <c r="C594" s="94" t="n"/>
      <c r="D594" s="54" t="n"/>
      <c r="E594" s="54" t="n"/>
      <c r="F594" s="54" t="n"/>
      <c r="G594" s="54" t="n"/>
      <c r="H594" s="54" t="n"/>
      <c r="I594" s="54" t="n"/>
      <c r="J594" s="54" t="n"/>
      <c r="K594" s="54" t="n"/>
      <c r="L594" s="54" t="n"/>
      <c r="M594" s="54" t="n"/>
    </row>
    <row r="595" ht="15.75" customHeight="1" s="51">
      <c r="A595" s="102" t="n"/>
      <c r="B595" s="102" t="n"/>
      <c r="C595" s="94" t="n"/>
      <c r="D595" s="54" t="n"/>
      <c r="E595" s="54" t="n"/>
      <c r="F595" s="54" t="n"/>
      <c r="G595" s="54" t="n"/>
      <c r="H595" s="54" t="n"/>
      <c r="I595" s="54" t="n"/>
      <c r="J595" s="54" t="n"/>
      <c r="K595" s="54" t="n"/>
      <c r="L595" s="54" t="n"/>
      <c r="M595" s="54" t="n"/>
    </row>
    <row r="596" ht="15.75" customHeight="1" s="51">
      <c r="A596" s="102" t="n"/>
      <c r="B596" s="102" t="n"/>
      <c r="C596" s="94" t="n"/>
      <c r="D596" s="54" t="n"/>
      <c r="E596" s="54" t="n"/>
      <c r="F596" s="54" t="n"/>
      <c r="G596" s="54" t="n"/>
      <c r="H596" s="54" t="n"/>
      <c r="I596" s="54" t="n"/>
      <c r="J596" s="54" t="n"/>
      <c r="K596" s="54" t="n"/>
      <c r="L596" s="54" t="n"/>
      <c r="M596" s="54" t="n"/>
    </row>
    <row r="597" ht="15.75" customHeight="1" s="51">
      <c r="A597" s="102" t="n"/>
      <c r="B597" s="102" t="n"/>
      <c r="C597" s="94" t="n"/>
      <c r="D597" s="54" t="n"/>
      <c r="E597" s="54" t="n"/>
      <c r="F597" s="54" t="n"/>
      <c r="G597" s="54" t="n"/>
      <c r="H597" s="54" t="n"/>
      <c r="I597" s="54" t="n"/>
      <c r="J597" s="54" t="n"/>
      <c r="K597" s="54" t="n"/>
      <c r="L597" s="54" t="n"/>
      <c r="M597" s="54" t="n"/>
    </row>
    <row r="598" ht="15.75" customHeight="1" s="51">
      <c r="A598" s="102" t="n"/>
      <c r="B598" s="102" t="n"/>
      <c r="C598" s="94" t="n"/>
      <c r="D598" s="54" t="n"/>
      <c r="E598" s="54" t="n"/>
      <c r="F598" s="54" t="n"/>
      <c r="G598" s="54" t="n"/>
      <c r="H598" s="54" t="n"/>
      <c r="I598" s="54" t="n"/>
      <c r="J598" s="54" t="n"/>
      <c r="K598" s="54" t="n"/>
      <c r="L598" s="54" t="n"/>
      <c r="M598" s="54" t="n"/>
    </row>
    <row r="599" ht="15.75" customHeight="1" s="51">
      <c r="A599" s="102" t="n"/>
      <c r="B599" s="102" t="n"/>
      <c r="C599" s="94" t="n"/>
      <c r="D599" s="54" t="n"/>
      <c r="E599" s="54" t="n"/>
      <c r="F599" s="54" t="n"/>
      <c r="G599" s="54" t="n"/>
      <c r="H599" s="54" t="n"/>
      <c r="I599" s="54" t="n"/>
      <c r="J599" s="54" t="n"/>
      <c r="K599" s="54" t="n"/>
      <c r="L599" s="54" t="n"/>
      <c r="M599" s="54" t="n"/>
    </row>
    <row r="600" ht="15.75" customHeight="1" s="51">
      <c r="A600" s="102" t="n"/>
      <c r="B600" s="102" t="n"/>
      <c r="C600" s="94" t="n"/>
      <c r="D600" s="54" t="n"/>
      <c r="E600" s="54" t="n"/>
      <c r="F600" s="54" t="n"/>
      <c r="G600" s="54" t="n"/>
      <c r="H600" s="54" t="n"/>
      <c r="I600" s="54" t="n"/>
      <c r="J600" s="54" t="n"/>
      <c r="K600" s="54" t="n"/>
      <c r="L600" s="54" t="n"/>
      <c r="M600" s="54" t="n"/>
    </row>
    <row r="601" ht="15.75" customHeight="1" s="51">
      <c r="A601" s="102" t="n"/>
      <c r="B601" s="102" t="n"/>
      <c r="C601" s="94" t="n"/>
      <c r="D601" s="54" t="n"/>
      <c r="E601" s="54" t="n"/>
      <c r="F601" s="54" t="n"/>
      <c r="G601" s="54" t="n"/>
      <c r="H601" s="54" t="n"/>
      <c r="I601" s="54" t="n"/>
      <c r="J601" s="54" t="n"/>
      <c r="K601" s="54" t="n"/>
      <c r="L601" s="54" t="n"/>
      <c r="M601" s="54" t="n"/>
    </row>
    <row r="602" ht="15.75" customHeight="1" s="51">
      <c r="A602" s="102" t="n"/>
      <c r="B602" s="102" t="n"/>
      <c r="C602" s="94" t="n"/>
      <c r="D602" s="54" t="n"/>
      <c r="E602" s="54" t="n"/>
      <c r="F602" s="54" t="n"/>
      <c r="G602" s="54" t="n"/>
      <c r="H602" s="54" t="n"/>
      <c r="I602" s="54" t="n"/>
      <c r="J602" s="54" t="n"/>
      <c r="K602" s="54" t="n"/>
      <c r="L602" s="54" t="n"/>
      <c r="M602" s="54" t="n"/>
    </row>
    <row r="603" ht="15.75" customHeight="1" s="51">
      <c r="A603" s="102" t="n"/>
      <c r="B603" s="102" t="n"/>
      <c r="C603" s="94" t="n"/>
      <c r="D603" s="54" t="n"/>
      <c r="E603" s="54" t="n"/>
      <c r="F603" s="54" t="n"/>
      <c r="G603" s="54" t="n"/>
      <c r="H603" s="54" t="n"/>
      <c r="I603" s="54" t="n"/>
      <c r="J603" s="54" t="n"/>
      <c r="K603" s="54" t="n"/>
      <c r="L603" s="54" t="n"/>
      <c r="M603" s="54" t="n"/>
    </row>
    <row r="604" ht="15.75" customHeight="1" s="51">
      <c r="A604" s="102" t="n"/>
      <c r="B604" s="102" t="n"/>
      <c r="C604" s="94" t="n"/>
      <c r="D604" s="54" t="n"/>
      <c r="E604" s="54" t="n"/>
      <c r="F604" s="54" t="n"/>
      <c r="G604" s="54" t="n"/>
      <c r="H604" s="54" t="n"/>
      <c r="I604" s="54" t="n"/>
      <c r="J604" s="54" t="n"/>
      <c r="K604" s="54" t="n"/>
      <c r="L604" s="54" t="n"/>
      <c r="M604" s="54" t="n"/>
    </row>
    <row r="605" ht="15.75" customHeight="1" s="51">
      <c r="A605" s="102" t="n"/>
      <c r="B605" s="102" t="n"/>
      <c r="C605" s="94" t="n"/>
      <c r="D605" s="54" t="n"/>
      <c r="E605" s="54" t="n"/>
      <c r="F605" s="54" t="n"/>
      <c r="G605" s="54" t="n"/>
      <c r="H605" s="54" t="n"/>
      <c r="I605" s="54" t="n"/>
      <c r="J605" s="54" t="n"/>
      <c r="K605" s="54" t="n"/>
      <c r="L605" s="54" t="n"/>
      <c r="M605" s="54" t="n"/>
    </row>
    <row r="606" ht="15.75" customHeight="1" s="51">
      <c r="A606" s="102" t="n"/>
      <c r="B606" s="102" t="n"/>
      <c r="C606" s="94" t="n"/>
      <c r="D606" s="54" t="n"/>
      <c r="E606" s="54" t="n"/>
      <c r="F606" s="54" t="n"/>
      <c r="G606" s="54" t="n"/>
      <c r="H606" s="54" t="n"/>
      <c r="I606" s="54" t="n"/>
      <c r="J606" s="54" t="n"/>
      <c r="K606" s="54" t="n"/>
      <c r="L606" s="54" t="n"/>
      <c r="M606" s="54" t="n"/>
    </row>
    <row r="607" ht="15.75" customHeight="1" s="51">
      <c r="A607" s="102" t="n"/>
      <c r="B607" s="102" t="n"/>
      <c r="C607" s="94" t="n"/>
      <c r="D607" s="54" t="n"/>
      <c r="E607" s="54" t="n"/>
      <c r="F607" s="54" t="n"/>
      <c r="G607" s="54" t="n"/>
      <c r="H607" s="54" t="n"/>
      <c r="I607" s="54" t="n"/>
      <c r="J607" s="54" t="n"/>
      <c r="K607" s="54" t="n"/>
      <c r="L607" s="54" t="n"/>
      <c r="M607" s="54" t="n"/>
    </row>
    <row r="608" ht="15.75" customHeight="1" s="51">
      <c r="A608" s="102" t="n"/>
      <c r="B608" s="102" t="n"/>
      <c r="C608" s="94" t="n"/>
      <c r="D608" s="54" t="n"/>
      <c r="E608" s="54" t="n"/>
      <c r="F608" s="54" t="n"/>
      <c r="G608" s="54" t="n"/>
      <c r="H608" s="54" t="n"/>
      <c r="I608" s="54" t="n"/>
      <c r="J608" s="54" t="n"/>
      <c r="K608" s="54" t="n"/>
      <c r="L608" s="54" t="n"/>
      <c r="M608" s="54" t="n"/>
    </row>
    <row r="609" ht="15.75" customHeight="1" s="51">
      <c r="A609" s="102" t="n"/>
      <c r="B609" s="102" t="n"/>
      <c r="C609" s="94" t="n"/>
      <c r="D609" s="54" t="n"/>
      <c r="E609" s="54" t="n"/>
      <c r="F609" s="54" t="n"/>
      <c r="G609" s="54" t="n"/>
      <c r="H609" s="54" t="n"/>
      <c r="I609" s="54" t="n"/>
      <c r="J609" s="54" t="n"/>
      <c r="K609" s="54" t="n"/>
      <c r="L609" s="54" t="n"/>
      <c r="M609" s="54" t="n"/>
    </row>
    <row r="610" ht="15.75" customHeight="1" s="51">
      <c r="A610" s="102" t="n"/>
      <c r="B610" s="102" t="n"/>
      <c r="C610" s="94" t="n"/>
      <c r="D610" s="54" t="n"/>
      <c r="E610" s="54" t="n"/>
      <c r="F610" s="54" t="n"/>
      <c r="G610" s="54" t="n"/>
      <c r="H610" s="54" t="n"/>
      <c r="I610" s="54" t="n"/>
      <c r="J610" s="54" t="n"/>
      <c r="K610" s="54" t="n"/>
      <c r="L610" s="54" t="n"/>
      <c r="M610" s="54" t="n"/>
    </row>
    <row r="611" ht="15.75" customHeight="1" s="51">
      <c r="A611" s="102" t="n"/>
      <c r="B611" s="102" t="n"/>
      <c r="C611" s="94" t="n"/>
      <c r="D611" s="54" t="n"/>
      <c r="E611" s="54" t="n"/>
      <c r="F611" s="54" t="n"/>
      <c r="G611" s="54" t="n"/>
      <c r="H611" s="54" t="n"/>
      <c r="I611" s="54" t="n"/>
      <c r="J611" s="54" t="n"/>
      <c r="K611" s="54" t="n"/>
      <c r="L611" s="54" t="n"/>
      <c r="M611" s="54" t="n"/>
    </row>
    <row r="612" ht="15.75" customHeight="1" s="51">
      <c r="A612" s="102" t="n"/>
      <c r="B612" s="102" t="n"/>
      <c r="C612" s="94" t="n"/>
      <c r="D612" s="54" t="n"/>
      <c r="E612" s="54" t="n"/>
      <c r="F612" s="54" t="n"/>
      <c r="G612" s="54" t="n"/>
      <c r="H612" s="54" t="n"/>
      <c r="I612" s="54" t="n"/>
      <c r="J612" s="54" t="n"/>
      <c r="K612" s="54" t="n"/>
      <c r="L612" s="54" t="n"/>
      <c r="M612" s="54" t="n"/>
    </row>
    <row r="613" ht="15.75" customHeight="1" s="51">
      <c r="A613" s="102" t="n"/>
      <c r="B613" s="102" t="n"/>
      <c r="C613" s="94" t="n"/>
      <c r="D613" s="54" t="n"/>
      <c r="E613" s="54" t="n"/>
      <c r="F613" s="54" t="n"/>
      <c r="G613" s="54" t="n"/>
      <c r="H613" s="54" t="n"/>
      <c r="I613" s="54" t="n"/>
      <c r="J613" s="54" t="n"/>
      <c r="K613" s="54" t="n"/>
      <c r="L613" s="54" t="n"/>
      <c r="M613" s="54" t="n"/>
    </row>
    <row r="614" ht="15.75" customHeight="1" s="51">
      <c r="A614" s="102" t="n"/>
      <c r="B614" s="102" t="n"/>
      <c r="C614" s="94" t="n"/>
      <c r="D614" s="54" t="n"/>
      <c r="E614" s="54" t="n"/>
      <c r="F614" s="54" t="n"/>
      <c r="G614" s="54" t="n"/>
      <c r="H614" s="54" t="n"/>
      <c r="I614" s="54" t="n"/>
      <c r="J614" s="54" t="n"/>
      <c r="K614" s="54" t="n"/>
      <c r="L614" s="54" t="n"/>
      <c r="M614" s="54" t="n"/>
    </row>
    <row r="615" ht="15.75" customHeight="1" s="51">
      <c r="A615" s="102" t="n"/>
      <c r="B615" s="102" t="n"/>
      <c r="C615" s="94" t="n"/>
      <c r="D615" s="54" t="n"/>
      <c r="E615" s="54" t="n"/>
      <c r="F615" s="54" t="n"/>
      <c r="G615" s="54" t="n"/>
      <c r="H615" s="54" t="n"/>
      <c r="I615" s="54" t="n"/>
      <c r="J615" s="54" t="n"/>
      <c r="K615" s="54" t="n"/>
      <c r="L615" s="54" t="n"/>
      <c r="M615" s="54" t="n"/>
    </row>
    <row r="616" ht="15.75" customHeight="1" s="51">
      <c r="A616" s="102" t="n"/>
      <c r="B616" s="102" t="n"/>
      <c r="C616" s="94" t="n"/>
      <c r="D616" s="54" t="n"/>
      <c r="E616" s="54" t="n"/>
      <c r="F616" s="54" t="n"/>
      <c r="G616" s="54" t="n"/>
      <c r="H616" s="54" t="n"/>
      <c r="I616" s="54" t="n"/>
      <c r="J616" s="54" t="n"/>
      <c r="K616" s="54" t="n"/>
      <c r="L616" s="54" t="n"/>
      <c r="M616" s="54" t="n"/>
    </row>
    <row r="617" ht="15.75" customHeight="1" s="51">
      <c r="A617" s="102" t="n"/>
      <c r="B617" s="102" t="n"/>
      <c r="C617" s="94" t="n"/>
      <c r="D617" s="54" t="n"/>
      <c r="E617" s="54" t="n"/>
      <c r="F617" s="54" t="n"/>
      <c r="G617" s="54" t="n"/>
      <c r="H617" s="54" t="n"/>
      <c r="I617" s="54" t="n"/>
      <c r="J617" s="54" t="n"/>
      <c r="K617" s="54" t="n"/>
      <c r="L617" s="54" t="n"/>
      <c r="M617" s="54" t="n"/>
    </row>
    <row r="618" ht="15.75" customHeight="1" s="51">
      <c r="A618" s="102" t="n"/>
      <c r="B618" s="102" t="n"/>
      <c r="C618" s="94" t="n"/>
      <c r="D618" s="54" t="n"/>
      <c r="E618" s="54" t="n"/>
      <c r="F618" s="54" t="n"/>
      <c r="G618" s="54" t="n"/>
      <c r="H618" s="54" t="n"/>
      <c r="I618" s="54" t="n"/>
      <c r="J618" s="54" t="n"/>
      <c r="K618" s="54" t="n"/>
      <c r="L618" s="54" t="n"/>
      <c r="M618" s="54" t="n"/>
    </row>
    <row r="619" ht="15.75" customHeight="1" s="51">
      <c r="A619" s="102" t="n"/>
      <c r="B619" s="102" t="n"/>
      <c r="C619" s="94" t="n"/>
      <c r="D619" s="54" t="n"/>
      <c r="E619" s="54" t="n"/>
      <c r="F619" s="54" t="n"/>
      <c r="G619" s="54" t="n"/>
      <c r="H619" s="54" t="n"/>
      <c r="I619" s="54" t="n"/>
      <c r="J619" s="54" t="n"/>
      <c r="K619" s="54" t="n"/>
      <c r="L619" s="54" t="n"/>
      <c r="M619" s="54" t="n"/>
    </row>
    <row r="620" ht="15.75" customHeight="1" s="51">
      <c r="A620" s="102" t="n"/>
      <c r="B620" s="102" t="n"/>
      <c r="C620" s="94" t="n"/>
      <c r="D620" s="54" t="n"/>
      <c r="E620" s="54" t="n"/>
      <c r="F620" s="54" t="n"/>
      <c r="G620" s="54" t="n"/>
      <c r="H620" s="54" t="n"/>
      <c r="I620" s="54" t="n"/>
      <c r="J620" s="54" t="n"/>
      <c r="K620" s="54" t="n"/>
      <c r="L620" s="54" t="n"/>
      <c r="M620" s="54" t="n"/>
    </row>
    <row r="621" ht="15.75" customHeight="1" s="51">
      <c r="A621" s="102" t="n"/>
      <c r="B621" s="102" t="n"/>
      <c r="C621" s="94" t="n"/>
      <c r="D621" s="54" t="n"/>
      <c r="E621" s="54" t="n"/>
      <c r="F621" s="54" t="n"/>
      <c r="G621" s="54" t="n"/>
      <c r="H621" s="54" t="n"/>
      <c r="I621" s="54" t="n"/>
      <c r="J621" s="54" t="n"/>
      <c r="K621" s="54" t="n"/>
      <c r="L621" s="54" t="n"/>
      <c r="M621" s="54" t="n"/>
    </row>
    <row r="622" ht="15.75" customHeight="1" s="51">
      <c r="A622" s="102" t="n"/>
      <c r="B622" s="102" t="n"/>
      <c r="C622" s="94" t="n"/>
      <c r="D622" s="54" t="n"/>
      <c r="E622" s="54" t="n"/>
      <c r="F622" s="54" t="n"/>
      <c r="G622" s="54" t="n"/>
      <c r="H622" s="54" t="n"/>
      <c r="I622" s="54" t="n"/>
      <c r="J622" s="54" t="n"/>
      <c r="K622" s="54" t="n"/>
      <c r="L622" s="54" t="n"/>
      <c r="M622" s="54" t="n"/>
    </row>
    <row r="623" ht="15.75" customHeight="1" s="51">
      <c r="A623" s="102" t="n"/>
      <c r="B623" s="102" t="n"/>
      <c r="C623" s="94" t="n"/>
      <c r="D623" s="54" t="n"/>
      <c r="E623" s="54" t="n"/>
      <c r="F623" s="54" t="n"/>
      <c r="G623" s="54" t="n"/>
      <c r="H623" s="54" t="n"/>
      <c r="I623" s="54" t="n"/>
      <c r="J623" s="54" t="n"/>
      <c r="K623" s="54" t="n"/>
      <c r="L623" s="54" t="n"/>
      <c r="M623" s="54" t="n"/>
    </row>
    <row r="624" ht="15.75" customHeight="1" s="51">
      <c r="A624" s="102" t="n"/>
      <c r="B624" s="102" t="n"/>
      <c r="C624" s="94" t="n"/>
      <c r="D624" s="54" t="n"/>
      <c r="E624" s="54" t="n"/>
      <c r="F624" s="54" t="n"/>
      <c r="G624" s="54" t="n"/>
      <c r="H624" s="54" t="n"/>
      <c r="I624" s="54" t="n"/>
      <c r="J624" s="54" t="n"/>
      <c r="K624" s="54" t="n"/>
      <c r="L624" s="54" t="n"/>
      <c r="M624" s="54" t="n"/>
    </row>
    <row r="625" ht="15.75" customHeight="1" s="51">
      <c r="A625" s="102" t="n"/>
      <c r="B625" s="102" t="n"/>
      <c r="C625" s="94" t="n"/>
      <c r="D625" s="54" t="n"/>
      <c r="E625" s="54" t="n"/>
      <c r="F625" s="54" t="n"/>
      <c r="G625" s="54" t="n"/>
      <c r="H625" s="54" t="n"/>
      <c r="I625" s="54" t="n"/>
      <c r="J625" s="54" t="n"/>
      <c r="K625" s="54" t="n"/>
      <c r="L625" s="54" t="n"/>
      <c r="M625" s="54" t="n"/>
    </row>
    <row r="626" ht="15.75" customHeight="1" s="51">
      <c r="A626" s="102" t="n"/>
      <c r="B626" s="102" t="n"/>
      <c r="C626" s="94" t="n"/>
      <c r="D626" s="54" t="n"/>
      <c r="E626" s="54" t="n"/>
      <c r="F626" s="54" t="n"/>
      <c r="G626" s="54" t="n"/>
      <c r="H626" s="54" t="n"/>
      <c r="I626" s="54" t="n"/>
      <c r="J626" s="54" t="n"/>
      <c r="K626" s="54" t="n"/>
      <c r="L626" s="54" t="n"/>
      <c r="M626" s="54" t="n"/>
    </row>
    <row r="627" ht="15.75" customHeight="1" s="51">
      <c r="A627" s="102" t="n"/>
      <c r="B627" s="102" t="n"/>
      <c r="C627" s="94" t="n"/>
      <c r="D627" s="54" t="n"/>
      <c r="E627" s="54" t="n"/>
      <c r="F627" s="54" t="n"/>
      <c r="G627" s="54" t="n"/>
      <c r="H627" s="54" t="n"/>
      <c r="I627" s="54" t="n"/>
      <c r="J627" s="54" t="n"/>
      <c r="K627" s="54" t="n"/>
      <c r="L627" s="54" t="n"/>
      <c r="M627" s="54" t="n"/>
    </row>
    <row r="628" ht="15.75" customHeight="1" s="51">
      <c r="A628" s="102" t="n"/>
      <c r="B628" s="102" t="n"/>
      <c r="C628" s="94" t="n"/>
      <c r="D628" s="54" t="n"/>
      <c r="E628" s="54" t="n"/>
      <c r="F628" s="54" t="n"/>
      <c r="G628" s="54" t="n"/>
      <c r="H628" s="54" t="n"/>
      <c r="I628" s="54" t="n"/>
      <c r="J628" s="54" t="n"/>
      <c r="K628" s="54" t="n"/>
      <c r="L628" s="54" t="n"/>
      <c r="M628" s="54" t="n"/>
    </row>
    <row r="629" ht="15.75" customHeight="1" s="51">
      <c r="A629" s="102" t="n"/>
      <c r="B629" s="102" t="n"/>
      <c r="C629" s="94" t="n"/>
      <c r="D629" s="54" t="n"/>
      <c r="E629" s="54" t="n"/>
      <c r="F629" s="54" t="n"/>
      <c r="G629" s="54" t="n"/>
      <c r="H629" s="54" t="n"/>
      <c r="I629" s="54" t="n"/>
      <c r="J629" s="54" t="n"/>
      <c r="K629" s="54" t="n"/>
      <c r="L629" s="54" t="n"/>
      <c r="M629" s="54" t="n"/>
    </row>
    <row r="630" ht="15.75" customHeight="1" s="51">
      <c r="A630" s="102" t="n"/>
      <c r="B630" s="102" t="n"/>
      <c r="C630" s="94" t="n"/>
      <c r="D630" s="54" t="n"/>
      <c r="E630" s="54" t="n"/>
      <c r="F630" s="54" t="n"/>
      <c r="G630" s="54" t="n"/>
      <c r="H630" s="54" t="n"/>
      <c r="I630" s="54" t="n"/>
      <c r="J630" s="54" t="n"/>
      <c r="K630" s="54" t="n"/>
      <c r="L630" s="54" t="n"/>
      <c r="M630" s="54" t="n"/>
    </row>
    <row r="631" ht="15.75" customHeight="1" s="51">
      <c r="A631" s="102" t="n"/>
      <c r="B631" s="102" t="n"/>
      <c r="C631" s="94" t="n"/>
      <c r="D631" s="54" t="n"/>
      <c r="E631" s="54" t="n"/>
      <c r="F631" s="54" t="n"/>
      <c r="G631" s="54" t="n"/>
      <c r="H631" s="54" t="n"/>
      <c r="I631" s="54" t="n"/>
      <c r="J631" s="54" t="n"/>
      <c r="K631" s="54" t="n"/>
      <c r="L631" s="54" t="n"/>
      <c r="M631" s="54" t="n"/>
    </row>
    <row r="632" ht="15.75" customHeight="1" s="51">
      <c r="A632" s="102" t="n"/>
      <c r="B632" s="102" t="n"/>
      <c r="C632" s="94" t="n"/>
      <c r="D632" s="54" t="n"/>
      <c r="E632" s="54" t="n"/>
      <c r="F632" s="54" t="n"/>
      <c r="G632" s="54" t="n"/>
      <c r="H632" s="54" t="n"/>
      <c r="I632" s="54" t="n"/>
      <c r="J632" s="54" t="n"/>
      <c r="K632" s="54" t="n"/>
      <c r="L632" s="54" t="n"/>
      <c r="M632" s="54" t="n"/>
    </row>
    <row r="633" ht="15.75" customHeight="1" s="51">
      <c r="A633" s="102" t="n"/>
      <c r="B633" s="102" t="n"/>
      <c r="C633" s="94" t="n"/>
      <c r="D633" s="54" t="n"/>
      <c r="E633" s="54" t="n"/>
      <c r="F633" s="54" t="n"/>
      <c r="G633" s="54" t="n"/>
      <c r="H633" s="54" t="n"/>
      <c r="I633" s="54" t="n"/>
      <c r="J633" s="54" t="n"/>
      <c r="K633" s="54" t="n"/>
      <c r="L633" s="54" t="n"/>
      <c r="M633" s="54" t="n"/>
    </row>
    <row r="634" ht="15.75" customHeight="1" s="51">
      <c r="A634" s="102" t="n"/>
      <c r="B634" s="102" t="n"/>
      <c r="C634" s="94" t="n"/>
      <c r="D634" s="54" t="n"/>
      <c r="E634" s="54" t="n"/>
      <c r="F634" s="54" t="n"/>
      <c r="G634" s="54" t="n"/>
      <c r="H634" s="54" t="n"/>
      <c r="I634" s="54" t="n"/>
      <c r="J634" s="54" t="n"/>
      <c r="K634" s="54" t="n"/>
      <c r="L634" s="54" t="n"/>
      <c r="M634" s="54" t="n"/>
    </row>
    <row r="635" ht="15.75" customHeight="1" s="51">
      <c r="A635" s="102" t="n"/>
      <c r="B635" s="102" t="n"/>
      <c r="C635" s="94" t="n"/>
      <c r="D635" s="54" t="n"/>
      <c r="E635" s="54" t="n"/>
      <c r="F635" s="54" t="n"/>
      <c r="G635" s="54" t="n"/>
      <c r="H635" s="54" t="n"/>
      <c r="I635" s="54" t="n"/>
      <c r="J635" s="54" t="n"/>
      <c r="K635" s="54" t="n"/>
      <c r="L635" s="54" t="n"/>
      <c r="M635" s="54" t="n"/>
    </row>
    <row r="636" ht="15.75" customHeight="1" s="51">
      <c r="A636" s="102" t="n"/>
      <c r="B636" s="102" t="n"/>
      <c r="C636" s="94" t="n"/>
      <c r="D636" s="54" t="n"/>
      <c r="E636" s="54" t="n"/>
      <c r="F636" s="54" t="n"/>
      <c r="G636" s="54" t="n"/>
      <c r="H636" s="54" t="n"/>
      <c r="I636" s="54" t="n"/>
      <c r="J636" s="54" t="n"/>
      <c r="K636" s="54" t="n"/>
      <c r="L636" s="54" t="n"/>
      <c r="M636" s="54" t="n"/>
    </row>
    <row r="637" ht="15.75" customHeight="1" s="51">
      <c r="A637" s="102" t="n"/>
      <c r="B637" s="102" t="n"/>
      <c r="C637" s="94" t="n"/>
      <c r="D637" s="54" t="n"/>
      <c r="E637" s="54" t="n"/>
      <c r="F637" s="54" t="n"/>
      <c r="G637" s="54" t="n"/>
      <c r="H637" s="54" t="n"/>
      <c r="I637" s="54" t="n"/>
      <c r="J637" s="54" t="n"/>
      <c r="K637" s="54" t="n"/>
      <c r="L637" s="54" t="n"/>
      <c r="M637" s="54" t="n"/>
    </row>
    <row r="638" ht="15.75" customHeight="1" s="51">
      <c r="A638" s="102" t="n"/>
      <c r="B638" s="102" t="n"/>
      <c r="C638" s="94" t="n"/>
      <c r="D638" s="54" t="n"/>
      <c r="E638" s="54" t="n"/>
      <c r="F638" s="54" t="n"/>
      <c r="G638" s="54" t="n"/>
      <c r="H638" s="54" t="n"/>
      <c r="I638" s="54" t="n"/>
      <c r="J638" s="54" t="n"/>
      <c r="K638" s="54" t="n"/>
      <c r="L638" s="54" t="n"/>
      <c r="M638" s="54" t="n"/>
    </row>
    <row r="639" ht="15.75" customHeight="1" s="51">
      <c r="A639" s="102" t="n"/>
      <c r="B639" s="102" t="n"/>
      <c r="C639" s="94" t="n"/>
      <c r="D639" s="54" t="n"/>
      <c r="E639" s="54" t="n"/>
      <c r="F639" s="54" t="n"/>
      <c r="G639" s="54" t="n"/>
      <c r="H639" s="54" t="n"/>
      <c r="I639" s="54" t="n"/>
      <c r="J639" s="54" t="n"/>
      <c r="K639" s="54" t="n"/>
      <c r="L639" s="54" t="n"/>
      <c r="M639" s="54" t="n"/>
    </row>
    <row r="640" ht="15.75" customHeight="1" s="51">
      <c r="A640" s="102" t="n"/>
      <c r="B640" s="102" t="n"/>
      <c r="C640" s="94" t="n"/>
      <c r="D640" s="54" t="n"/>
      <c r="E640" s="54" t="n"/>
      <c r="F640" s="54" t="n"/>
      <c r="G640" s="54" t="n"/>
      <c r="H640" s="54" t="n"/>
      <c r="I640" s="54" t="n"/>
      <c r="J640" s="54" t="n"/>
      <c r="K640" s="54" t="n"/>
      <c r="L640" s="54" t="n"/>
      <c r="M640" s="54" t="n"/>
    </row>
    <row r="641" ht="15.75" customHeight="1" s="51">
      <c r="A641" s="102" t="n"/>
      <c r="B641" s="102" t="n"/>
      <c r="C641" s="94" t="n"/>
      <c r="D641" s="54" t="n"/>
      <c r="E641" s="54" t="n"/>
      <c r="F641" s="54" t="n"/>
      <c r="G641" s="54" t="n"/>
      <c r="H641" s="54" t="n"/>
      <c r="I641" s="54" t="n"/>
      <c r="J641" s="54" t="n"/>
      <c r="K641" s="54" t="n"/>
      <c r="L641" s="54" t="n"/>
      <c r="M641" s="54" t="n"/>
    </row>
    <row r="642" ht="15.75" customHeight="1" s="51">
      <c r="A642" s="102" t="n"/>
      <c r="B642" s="102" t="n"/>
      <c r="C642" s="94" t="n"/>
      <c r="D642" s="54" t="n"/>
      <c r="E642" s="54" t="n"/>
      <c r="F642" s="54" t="n"/>
      <c r="G642" s="54" t="n"/>
      <c r="H642" s="54" t="n"/>
      <c r="I642" s="54" t="n"/>
      <c r="J642" s="54" t="n"/>
      <c r="K642" s="54" t="n"/>
      <c r="L642" s="54" t="n"/>
      <c r="M642" s="54" t="n"/>
    </row>
    <row r="643" ht="15.75" customHeight="1" s="51">
      <c r="A643" s="102" t="n"/>
      <c r="B643" s="102" t="n"/>
      <c r="C643" s="94" t="n"/>
      <c r="D643" s="54" t="n"/>
      <c r="E643" s="54" t="n"/>
      <c r="F643" s="54" t="n"/>
      <c r="G643" s="54" t="n"/>
      <c r="H643" s="54" t="n"/>
      <c r="I643" s="54" t="n"/>
      <c r="J643" s="54" t="n"/>
      <c r="K643" s="54" t="n"/>
      <c r="L643" s="54" t="n"/>
      <c r="M643" s="54" t="n"/>
    </row>
    <row r="644" ht="15.75" customHeight="1" s="51">
      <c r="A644" s="102" t="n"/>
      <c r="B644" s="102" t="n"/>
      <c r="C644" s="94" t="n"/>
      <c r="D644" s="54" t="n"/>
      <c r="E644" s="54" t="n"/>
      <c r="F644" s="54" t="n"/>
      <c r="G644" s="54" t="n"/>
      <c r="H644" s="54" t="n"/>
      <c r="I644" s="54" t="n"/>
      <c r="J644" s="54" t="n"/>
      <c r="K644" s="54" t="n"/>
      <c r="L644" s="54" t="n"/>
      <c r="M644" s="54" t="n"/>
    </row>
    <row r="645" ht="15.75" customHeight="1" s="51">
      <c r="A645" s="102" t="n"/>
      <c r="B645" s="102" t="n"/>
      <c r="C645" s="94" t="n"/>
      <c r="D645" s="54" t="n"/>
      <c r="E645" s="54" t="n"/>
      <c r="F645" s="54" t="n"/>
      <c r="G645" s="54" t="n"/>
      <c r="H645" s="54" t="n"/>
      <c r="I645" s="54" t="n"/>
      <c r="J645" s="54" t="n"/>
      <c r="K645" s="54" t="n"/>
      <c r="L645" s="54" t="n"/>
      <c r="M645" s="54" t="n"/>
    </row>
    <row r="646" ht="15.75" customHeight="1" s="51">
      <c r="A646" s="102" t="n"/>
      <c r="B646" s="102" t="n"/>
      <c r="C646" s="94" t="n"/>
      <c r="D646" s="54" t="n"/>
      <c r="E646" s="54" t="n"/>
      <c r="F646" s="54" t="n"/>
      <c r="G646" s="54" t="n"/>
      <c r="H646" s="54" t="n"/>
      <c r="I646" s="54" t="n"/>
      <c r="J646" s="54" t="n"/>
      <c r="K646" s="54" t="n"/>
      <c r="L646" s="54" t="n"/>
      <c r="M646" s="54" t="n"/>
    </row>
    <row r="647" ht="15.75" customHeight="1" s="51">
      <c r="A647" s="102" t="n"/>
      <c r="B647" s="102" t="n"/>
      <c r="C647" s="94" t="n"/>
      <c r="D647" s="54" t="n"/>
      <c r="E647" s="54" t="n"/>
      <c r="F647" s="54" t="n"/>
      <c r="G647" s="54" t="n"/>
      <c r="H647" s="54" t="n"/>
      <c r="I647" s="54" t="n"/>
      <c r="J647" s="54" t="n"/>
      <c r="K647" s="54" t="n"/>
      <c r="L647" s="54" t="n"/>
      <c r="M647" s="54" t="n"/>
    </row>
    <row r="648" ht="15.75" customHeight="1" s="51">
      <c r="A648" s="102" t="n"/>
      <c r="B648" s="102" t="n"/>
      <c r="C648" s="94" t="n"/>
      <c r="D648" s="54" t="n"/>
      <c r="E648" s="54" t="n"/>
      <c r="F648" s="54" t="n"/>
      <c r="G648" s="54" t="n"/>
      <c r="H648" s="54" t="n"/>
      <c r="I648" s="54" t="n"/>
      <c r="J648" s="54" t="n"/>
      <c r="K648" s="54" t="n"/>
      <c r="L648" s="54" t="n"/>
      <c r="M648" s="54" t="n"/>
    </row>
    <row r="649" ht="15.75" customHeight="1" s="51">
      <c r="A649" s="102" t="n"/>
      <c r="B649" s="102" t="n"/>
      <c r="C649" s="94" t="n"/>
      <c r="D649" s="54" t="n"/>
      <c r="E649" s="54" t="n"/>
      <c r="F649" s="54" t="n"/>
      <c r="G649" s="54" t="n"/>
      <c r="H649" s="54" t="n"/>
      <c r="I649" s="54" t="n"/>
      <c r="J649" s="54" t="n"/>
      <c r="K649" s="54" t="n"/>
      <c r="L649" s="54" t="n"/>
      <c r="M649" s="54" t="n"/>
    </row>
    <row r="650" ht="15.75" customHeight="1" s="51">
      <c r="A650" s="102" t="n"/>
      <c r="B650" s="102" t="n"/>
      <c r="C650" s="94" t="n"/>
      <c r="D650" s="54" t="n"/>
      <c r="E650" s="54" t="n"/>
      <c r="F650" s="54" t="n"/>
      <c r="G650" s="54" t="n"/>
      <c r="H650" s="54" t="n"/>
      <c r="I650" s="54" t="n"/>
      <c r="J650" s="54" t="n"/>
      <c r="K650" s="54" t="n"/>
      <c r="L650" s="54" t="n"/>
      <c r="M650" s="54" t="n"/>
    </row>
    <row r="651" ht="15.75" customHeight="1" s="51">
      <c r="A651" s="102" t="n"/>
      <c r="B651" s="102" t="n"/>
      <c r="C651" s="94" t="n"/>
      <c r="D651" s="54" t="n"/>
      <c r="E651" s="54" t="n"/>
      <c r="F651" s="54" t="n"/>
      <c r="G651" s="54" t="n"/>
      <c r="H651" s="54" t="n"/>
      <c r="I651" s="54" t="n"/>
      <c r="J651" s="54" t="n"/>
      <c r="K651" s="54" t="n"/>
      <c r="L651" s="54" t="n"/>
      <c r="M651" s="54" t="n"/>
    </row>
    <row r="652" ht="15.75" customHeight="1" s="51">
      <c r="A652" s="102" t="n"/>
      <c r="B652" s="102" t="n"/>
      <c r="C652" s="94" t="n"/>
      <c r="D652" s="54" t="n"/>
      <c r="E652" s="54" t="n"/>
      <c r="F652" s="54" t="n"/>
      <c r="G652" s="54" t="n"/>
      <c r="H652" s="54" t="n"/>
      <c r="I652" s="54" t="n"/>
      <c r="J652" s="54" t="n"/>
      <c r="K652" s="54" t="n"/>
      <c r="L652" s="54" t="n"/>
      <c r="M652" s="54" t="n"/>
    </row>
    <row r="653" ht="15.75" customHeight="1" s="51">
      <c r="A653" s="102" t="n"/>
      <c r="B653" s="102" t="n"/>
      <c r="C653" s="94" t="n"/>
      <c r="D653" s="54" t="n"/>
      <c r="E653" s="54" t="n"/>
      <c r="F653" s="54" t="n"/>
      <c r="G653" s="54" t="n"/>
      <c r="H653" s="54" t="n"/>
      <c r="I653" s="54" t="n"/>
      <c r="J653" s="54" t="n"/>
      <c r="K653" s="54" t="n"/>
      <c r="L653" s="54" t="n"/>
      <c r="M653" s="54" t="n"/>
    </row>
    <row r="654" ht="15.75" customHeight="1" s="51">
      <c r="A654" s="102" t="n"/>
      <c r="B654" s="102" t="n"/>
      <c r="C654" s="94" t="n"/>
      <c r="D654" s="54" t="n"/>
      <c r="E654" s="54" t="n"/>
      <c r="F654" s="54" t="n"/>
      <c r="G654" s="54" t="n"/>
      <c r="H654" s="54" t="n"/>
      <c r="I654" s="54" t="n"/>
      <c r="J654" s="54" t="n"/>
      <c r="K654" s="54" t="n"/>
      <c r="L654" s="54" t="n"/>
      <c r="M654" s="54" t="n"/>
    </row>
    <row r="655" ht="15.75" customHeight="1" s="51">
      <c r="A655" s="102" t="n"/>
      <c r="B655" s="102" t="n"/>
      <c r="C655" s="94" t="n"/>
      <c r="D655" s="54" t="n"/>
      <c r="E655" s="54" t="n"/>
      <c r="F655" s="54" t="n"/>
      <c r="G655" s="54" t="n"/>
      <c r="H655" s="54" t="n"/>
      <c r="I655" s="54" t="n"/>
      <c r="J655" s="54" t="n"/>
      <c r="K655" s="54" t="n"/>
      <c r="L655" s="54" t="n"/>
      <c r="M655" s="54" t="n"/>
    </row>
    <row r="656" ht="15.75" customHeight="1" s="51">
      <c r="A656" s="102" t="n"/>
      <c r="B656" s="102" t="n"/>
      <c r="C656" s="94" t="n"/>
      <c r="D656" s="54" t="n"/>
      <c r="E656" s="54" t="n"/>
      <c r="F656" s="54" t="n"/>
      <c r="G656" s="54" t="n"/>
      <c r="H656" s="54" t="n"/>
      <c r="I656" s="54" t="n"/>
      <c r="J656" s="54" t="n"/>
      <c r="K656" s="54" t="n"/>
      <c r="L656" s="54" t="n"/>
      <c r="M656" s="54" t="n"/>
    </row>
    <row r="657" ht="15.75" customHeight="1" s="51">
      <c r="A657" s="102" t="n"/>
      <c r="B657" s="102" t="n"/>
      <c r="C657" s="94" t="n"/>
      <c r="D657" s="54" t="n"/>
      <c r="E657" s="54" t="n"/>
      <c r="F657" s="54" t="n"/>
      <c r="G657" s="54" t="n"/>
      <c r="H657" s="54" t="n"/>
      <c r="I657" s="54" t="n"/>
      <c r="J657" s="54" t="n"/>
      <c r="K657" s="54" t="n"/>
      <c r="L657" s="54" t="n"/>
      <c r="M657" s="54" t="n"/>
    </row>
    <row r="658" ht="15.75" customHeight="1" s="51">
      <c r="A658" s="102" t="n"/>
      <c r="B658" s="102" t="n"/>
      <c r="C658" s="94" t="n"/>
      <c r="D658" s="54" t="n"/>
      <c r="E658" s="54" t="n"/>
      <c r="F658" s="54" t="n"/>
      <c r="G658" s="54" t="n"/>
      <c r="H658" s="54" t="n"/>
      <c r="I658" s="54" t="n"/>
      <c r="J658" s="54" t="n"/>
      <c r="K658" s="54" t="n"/>
      <c r="L658" s="54" t="n"/>
      <c r="M658" s="54" t="n"/>
    </row>
    <row r="659" ht="15.75" customHeight="1" s="51">
      <c r="A659" s="102" t="n"/>
      <c r="B659" s="102" t="n"/>
      <c r="C659" s="94" t="n"/>
      <c r="D659" s="54" t="n"/>
      <c r="E659" s="54" t="n"/>
      <c r="F659" s="54" t="n"/>
      <c r="G659" s="54" t="n"/>
      <c r="H659" s="54" t="n"/>
      <c r="I659" s="54" t="n"/>
      <c r="J659" s="54" t="n"/>
      <c r="K659" s="54" t="n"/>
      <c r="L659" s="54" t="n"/>
      <c r="M659" s="54" t="n"/>
    </row>
    <row r="660" ht="15.75" customHeight="1" s="51">
      <c r="A660" s="102" t="n"/>
      <c r="B660" s="102" t="n"/>
      <c r="C660" s="94" t="n"/>
      <c r="D660" s="54" t="n"/>
      <c r="E660" s="54" t="n"/>
      <c r="F660" s="54" t="n"/>
      <c r="G660" s="54" t="n"/>
      <c r="H660" s="54" t="n"/>
      <c r="I660" s="54" t="n"/>
      <c r="J660" s="54" t="n"/>
      <c r="K660" s="54" t="n"/>
      <c r="L660" s="54" t="n"/>
      <c r="M660" s="54" t="n"/>
    </row>
    <row r="661" ht="15.75" customHeight="1" s="51">
      <c r="A661" s="102" t="n"/>
      <c r="B661" s="102" t="n"/>
      <c r="C661" s="94" t="n"/>
      <c r="D661" s="54" t="n"/>
      <c r="E661" s="54" t="n"/>
      <c r="F661" s="54" t="n"/>
      <c r="G661" s="54" t="n"/>
      <c r="H661" s="54" t="n"/>
      <c r="I661" s="54" t="n"/>
      <c r="J661" s="54" t="n"/>
      <c r="K661" s="54" t="n"/>
      <c r="L661" s="54" t="n"/>
      <c r="M661" s="54" t="n"/>
    </row>
    <row r="662" ht="15.75" customHeight="1" s="51">
      <c r="A662" s="102" t="n"/>
      <c r="B662" s="102" t="n"/>
      <c r="C662" s="94" t="n"/>
      <c r="D662" s="54" t="n"/>
      <c r="E662" s="54" t="n"/>
      <c r="F662" s="54" t="n"/>
      <c r="G662" s="54" t="n"/>
      <c r="H662" s="54" t="n"/>
      <c r="I662" s="54" t="n"/>
      <c r="J662" s="54" t="n"/>
      <c r="K662" s="54" t="n"/>
      <c r="L662" s="54" t="n"/>
      <c r="M662" s="54" t="n"/>
    </row>
    <row r="663" ht="15.75" customHeight="1" s="51">
      <c r="A663" s="102" t="n"/>
      <c r="B663" s="102" t="n"/>
      <c r="C663" s="94" t="n"/>
      <c r="D663" s="54" t="n"/>
      <c r="E663" s="54" t="n"/>
      <c r="F663" s="54" t="n"/>
      <c r="G663" s="54" t="n"/>
      <c r="H663" s="54" t="n"/>
      <c r="I663" s="54" t="n"/>
      <c r="J663" s="54" t="n"/>
      <c r="K663" s="54" t="n"/>
      <c r="L663" s="54" t="n"/>
      <c r="M663" s="54" t="n"/>
    </row>
    <row r="664" ht="15.75" customHeight="1" s="51">
      <c r="A664" s="102" t="n"/>
      <c r="B664" s="102" t="n"/>
      <c r="C664" s="94" t="n"/>
      <c r="D664" s="54" t="n"/>
      <c r="E664" s="54" t="n"/>
      <c r="F664" s="54" t="n"/>
      <c r="G664" s="54" t="n"/>
      <c r="H664" s="54" t="n"/>
      <c r="I664" s="54" t="n"/>
      <c r="J664" s="54" t="n"/>
      <c r="K664" s="54" t="n"/>
      <c r="L664" s="54" t="n"/>
      <c r="M664" s="54" t="n"/>
    </row>
    <row r="665" ht="15.75" customHeight="1" s="51">
      <c r="A665" s="102" t="n"/>
      <c r="B665" s="102" t="n"/>
      <c r="C665" s="94" t="n"/>
      <c r="D665" s="54" t="n"/>
      <c r="E665" s="54" t="n"/>
      <c r="F665" s="54" t="n"/>
      <c r="G665" s="54" t="n"/>
      <c r="H665" s="54" t="n"/>
      <c r="I665" s="54" t="n"/>
      <c r="J665" s="54" t="n"/>
      <c r="K665" s="54" t="n"/>
      <c r="L665" s="54" t="n"/>
      <c r="M665" s="54" t="n"/>
    </row>
    <row r="666" ht="15.75" customHeight="1" s="51">
      <c r="A666" s="102" t="n"/>
      <c r="B666" s="102" t="n"/>
      <c r="C666" s="94" t="n"/>
      <c r="D666" s="54" t="n"/>
      <c r="E666" s="54" t="n"/>
      <c r="F666" s="54" t="n"/>
      <c r="G666" s="54" t="n"/>
      <c r="H666" s="54" t="n"/>
      <c r="I666" s="54" t="n"/>
      <c r="J666" s="54" t="n"/>
      <c r="K666" s="54" t="n"/>
      <c r="L666" s="54" t="n"/>
      <c r="M666" s="54" t="n"/>
    </row>
    <row r="667" ht="15.75" customHeight="1" s="51">
      <c r="A667" s="102" t="n"/>
      <c r="B667" s="102" t="n"/>
      <c r="C667" s="94" t="n"/>
      <c r="D667" s="54" t="n"/>
      <c r="E667" s="54" t="n"/>
      <c r="F667" s="54" t="n"/>
      <c r="G667" s="54" t="n"/>
      <c r="H667" s="54" t="n"/>
      <c r="I667" s="54" t="n"/>
      <c r="J667" s="54" t="n"/>
      <c r="K667" s="54" t="n"/>
      <c r="L667" s="54" t="n"/>
      <c r="M667" s="54" t="n"/>
    </row>
    <row r="668" ht="15.75" customHeight="1" s="51">
      <c r="A668" s="102" t="n"/>
      <c r="B668" s="102" t="n"/>
      <c r="C668" s="94" t="n"/>
      <c r="D668" s="54" t="n"/>
      <c r="E668" s="54" t="n"/>
      <c r="F668" s="54" t="n"/>
      <c r="G668" s="54" t="n"/>
      <c r="H668" s="54" t="n"/>
      <c r="I668" s="54" t="n"/>
      <c r="J668" s="54" t="n"/>
      <c r="K668" s="54" t="n"/>
      <c r="L668" s="54" t="n"/>
      <c r="M668" s="54" t="n"/>
    </row>
    <row r="669" ht="15.75" customHeight="1" s="51">
      <c r="A669" s="102" t="n"/>
      <c r="B669" s="102" t="n"/>
      <c r="C669" s="94" t="n"/>
      <c r="D669" s="54" t="n"/>
      <c r="E669" s="54" t="n"/>
      <c r="F669" s="54" t="n"/>
      <c r="G669" s="54" t="n"/>
      <c r="H669" s="54" t="n"/>
      <c r="I669" s="54" t="n"/>
      <c r="J669" s="54" t="n"/>
      <c r="K669" s="54" t="n"/>
      <c r="L669" s="54" t="n"/>
      <c r="M669" s="54" t="n"/>
    </row>
    <row r="670" ht="15.75" customHeight="1" s="51">
      <c r="A670" s="102" t="n"/>
      <c r="B670" s="102" t="n"/>
      <c r="C670" s="94" t="n"/>
      <c r="D670" s="54" t="n"/>
      <c r="E670" s="54" t="n"/>
      <c r="F670" s="54" t="n"/>
      <c r="G670" s="54" t="n"/>
      <c r="H670" s="54" t="n"/>
      <c r="I670" s="54" t="n"/>
      <c r="J670" s="54" t="n"/>
      <c r="K670" s="54" t="n"/>
      <c r="L670" s="54" t="n"/>
      <c r="M670" s="54" t="n"/>
    </row>
    <row r="671" ht="15.75" customHeight="1" s="51">
      <c r="A671" s="102" t="n"/>
      <c r="B671" s="102" t="n"/>
      <c r="C671" s="94" t="n"/>
      <c r="D671" s="54" t="n"/>
      <c r="E671" s="54" t="n"/>
      <c r="F671" s="54" t="n"/>
      <c r="G671" s="54" t="n"/>
      <c r="H671" s="54" t="n"/>
      <c r="I671" s="54" t="n"/>
      <c r="J671" s="54" t="n"/>
      <c r="K671" s="54" t="n"/>
      <c r="L671" s="54" t="n"/>
      <c r="M671" s="54" t="n"/>
    </row>
    <row r="672" ht="15.75" customHeight="1" s="51">
      <c r="A672" s="102" t="n"/>
      <c r="B672" s="102" t="n"/>
      <c r="C672" s="94" t="n"/>
      <c r="D672" s="54" t="n"/>
      <c r="E672" s="54" t="n"/>
      <c r="F672" s="54" t="n"/>
      <c r="G672" s="54" t="n"/>
      <c r="H672" s="54" t="n"/>
      <c r="I672" s="54" t="n"/>
      <c r="J672" s="54" t="n"/>
      <c r="K672" s="54" t="n"/>
      <c r="L672" s="54" t="n"/>
      <c r="M672" s="54" t="n"/>
    </row>
    <row r="673" ht="15.75" customHeight="1" s="51">
      <c r="A673" s="102" t="n"/>
      <c r="B673" s="102" t="n"/>
      <c r="C673" s="94" t="n"/>
      <c r="D673" s="54" t="n"/>
      <c r="E673" s="54" t="n"/>
      <c r="F673" s="54" t="n"/>
      <c r="G673" s="54" t="n"/>
      <c r="H673" s="54" t="n"/>
      <c r="I673" s="54" t="n"/>
      <c r="J673" s="54" t="n"/>
      <c r="K673" s="54" t="n"/>
      <c r="L673" s="54" t="n"/>
      <c r="M673" s="54" t="n"/>
    </row>
    <row r="674" ht="15.75" customHeight="1" s="51">
      <c r="A674" s="102" t="n"/>
      <c r="B674" s="102" t="n"/>
      <c r="C674" s="94" t="n"/>
      <c r="D674" s="54" t="n"/>
      <c r="E674" s="54" t="n"/>
      <c r="F674" s="54" t="n"/>
      <c r="G674" s="54" t="n"/>
      <c r="H674" s="54" t="n"/>
      <c r="I674" s="54" t="n"/>
      <c r="J674" s="54" t="n"/>
      <c r="K674" s="54" t="n"/>
      <c r="L674" s="54" t="n"/>
      <c r="M674" s="54" t="n"/>
    </row>
    <row r="675" ht="15.75" customHeight="1" s="51">
      <c r="A675" s="102" t="n"/>
      <c r="B675" s="102" t="n"/>
      <c r="C675" s="94" t="n"/>
      <c r="D675" s="54" t="n"/>
      <c r="E675" s="54" t="n"/>
      <c r="F675" s="54" t="n"/>
      <c r="G675" s="54" t="n"/>
      <c r="H675" s="54" t="n"/>
      <c r="I675" s="54" t="n"/>
      <c r="J675" s="54" t="n"/>
      <c r="K675" s="54" t="n"/>
      <c r="L675" s="54" t="n"/>
      <c r="M675" s="54" t="n"/>
    </row>
    <row r="676" ht="15.75" customHeight="1" s="51">
      <c r="A676" s="102" t="n"/>
      <c r="B676" s="102" t="n"/>
      <c r="C676" s="94" t="n"/>
      <c r="D676" s="54" t="n"/>
      <c r="E676" s="54" t="n"/>
      <c r="F676" s="54" t="n"/>
      <c r="G676" s="54" t="n"/>
      <c r="H676" s="54" t="n"/>
      <c r="I676" s="54" t="n"/>
      <c r="J676" s="54" t="n"/>
      <c r="K676" s="54" t="n"/>
      <c r="L676" s="54" t="n"/>
      <c r="M676" s="54" t="n"/>
    </row>
    <row r="677" ht="15.75" customHeight="1" s="51">
      <c r="A677" s="102" t="n"/>
      <c r="B677" s="102" t="n"/>
      <c r="C677" s="94" t="n"/>
      <c r="D677" s="54" t="n"/>
      <c r="E677" s="54" t="n"/>
      <c r="F677" s="54" t="n"/>
      <c r="G677" s="54" t="n"/>
      <c r="H677" s="54" t="n"/>
      <c r="I677" s="54" t="n"/>
      <c r="J677" s="54" t="n"/>
      <c r="K677" s="54" t="n"/>
      <c r="L677" s="54" t="n"/>
      <c r="M677" s="54" t="n"/>
    </row>
    <row r="678" ht="15.75" customHeight="1" s="51">
      <c r="A678" s="102" t="n"/>
      <c r="B678" s="102" t="n"/>
      <c r="C678" s="94" t="n"/>
      <c r="D678" s="54" t="n"/>
      <c r="E678" s="54" t="n"/>
      <c r="F678" s="54" t="n"/>
      <c r="G678" s="54" t="n"/>
      <c r="H678" s="54" t="n"/>
      <c r="I678" s="54" t="n"/>
      <c r="J678" s="54" t="n"/>
      <c r="K678" s="54" t="n"/>
      <c r="L678" s="54" t="n"/>
      <c r="M678" s="54" t="n"/>
    </row>
    <row r="679" ht="15.75" customHeight="1" s="51">
      <c r="A679" s="102" t="n"/>
      <c r="B679" s="102" t="n"/>
      <c r="C679" s="94" t="n"/>
      <c r="D679" s="54" t="n"/>
      <c r="E679" s="54" t="n"/>
      <c r="F679" s="54" t="n"/>
      <c r="G679" s="54" t="n"/>
      <c r="H679" s="54" t="n"/>
      <c r="I679" s="54" t="n"/>
      <c r="J679" s="54" t="n"/>
      <c r="K679" s="54" t="n"/>
      <c r="L679" s="54" t="n"/>
      <c r="M679" s="54" t="n"/>
    </row>
    <row r="680" ht="15.75" customHeight="1" s="51">
      <c r="A680" s="102" t="n"/>
      <c r="B680" s="102" t="n"/>
      <c r="C680" s="94" t="n"/>
      <c r="D680" s="54" t="n"/>
      <c r="E680" s="54" t="n"/>
      <c r="F680" s="54" t="n"/>
      <c r="G680" s="54" t="n"/>
      <c r="H680" s="54" t="n"/>
      <c r="I680" s="54" t="n"/>
      <c r="J680" s="54" t="n"/>
      <c r="K680" s="54" t="n"/>
      <c r="L680" s="54" t="n"/>
      <c r="M680" s="54" t="n"/>
    </row>
    <row r="681" ht="15.75" customHeight="1" s="51">
      <c r="A681" s="102" t="n"/>
      <c r="B681" s="102" t="n"/>
      <c r="C681" s="94" t="n"/>
      <c r="D681" s="54" t="n"/>
      <c r="E681" s="54" t="n"/>
      <c r="F681" s="54" t="n"/>
      <c r="G681" s="54" t="n"/>
      <c r="H681" s="54" t="n"/>
      <c r="I681" s="54" t="n"/>
      <c r="J681" s="54" t="n"/>
      <c r="K681" s="54" t="n"/>
      <c r="L681" s="54" t="n"/>
      <c r="M681" s="54" t="n"/>
    </row>
    <row r="682" ht="15.75" customHeight="1" s="51">
      <c r="A682" s="102" t="n"/>
      <c r="B682" s="102" t="n"/>
      <c r="C682" s="94" t="n"/>
      <c r="D682" s="54" t="n"/>
      <c r="E682" s="54" t="n"/>
      <c r="F682" s="54" t="n"/>
      <c r="G682" s="54" t="n"/>
      <c r="H682" s="54" t="n"/>
      <c r="I682" s="54" t="n"/>
      <c r="J682" s="54" t="n"/>
      <c r="K682" s="54" t="n"/>
      <c r="L682" s="54" t="n"/>
      <c r="M682" s="54" t="n"/>
    </row>
    <row r="683" ht="15.75" customHeight="1" s="51">
      <c r="A683" s="102" t="n"/>
      <c r="B683" s="102" t="n"/>
      <c r="C683" s="94" t="n"/>
      <c r="D683" s="54" t="n"/>
      <c r="E683" s="54" t="n"/>
      <c r="F683" s="54" t="n"/>
      <c r="G683" s="54" t="n"/>
      <c r="H683" s="54" t="n"/>
      <c r="I683" s="54" t="n"/>
      <c r="J683" s="54" t="n"/>
      <c r="K683" s="54" t="n"/>
      <c r="L683" s="54" t="n"/>
      <c r="M683" s="54" t="n"/>
    </row>
    <row r="684" ht="15.75" customHeight="1" s="51">
      <c r="A684" s="102" t="n"/>
      <c r="B684" s="102" t="n"/>
      <c r="C684" s="94" t="n"/>
      <c r="D684" s="54" t="n"/>
      <c r="E684" s="54" t="n"/>
      <c r="F684" s="54" t="n"/>
      <c r="G684" s="54" t="n"/>
      <c r="H684" s="54" t="n"/>
      <c r="I684" s="54" t="n"/>
      <c r="J684" s="54" t="n"/>
      <c r="K684" s="54" t="n"/>
      <c r="L684" s="54" t="n"/>
      <c r="M684" s="54" t="n"/>
    </row>
    <row r="685" ht="15.75" customHeight="1" s="51">
      <c r="A685" s="102" t="n"/>
      <c r="B685" s="102" t="n"/>
      <c r="C685" s="94" t="n"/>
      <c r="D685" s="54" t="n"/>
      <c r="E685" s="54" t="n"/>
      <c r="F685" s="54" t="n"/>
      <c r="G685" s="54" t="n"/>
      <c r="H685" s="54" t="n"/>
      <c r="I685" s="54" t="n"/>
      <c r="J685" s="54" t="n"/>
      <c r="K685" s="54" t="n"/>
      <c r="L685" s="54" t="n"/>
      <c r="M685" s="54" t="n"/>
    </row>
    <row r="686" ht="15.75" customHeight="1" s="51">
      <c r="A686" s="102" t="n"/>
      <c r="B686" s="102" t="n"/>
      <c r="C686" s="94" t="n"/>
      <c r="D686" s="54" t="n"/>
      <c r="E686" s="54" t="n"/>
      <c r="F686" s="54" t="n"/>
      <c r="G686" s="54" t="n"/>
      <c r="H686" s="54" t="n"/>
      <c r="I686" s="54" t="n"/>
      <c r="J686" s="54" t="n"/>
      <c r="K686" s="54" t="n"/>
      <c r="L686" s="54" t="n"/>
      <c r="M686" s="54" t="n"/>
    </row>
    <row r="687" ht="15.75" customHeight="1" s="51">
      <c r="A687" s="102" t="n"/>
      <c r="B687" s="102" t="n"/>
      <c r="C687" s="94" t="n"/>
      <c r="D687" s="54" t="n"/>
      <c r="E687" s="54" t="n"/>
      <c r="F687" s="54" t="n"/>
      <c r="G687" s="54" t="n"/>
      <c r="H687" s="54" t="n"/>
      <c r="I687" s="54" t="n"/>
      <c r="J687" s="54" t="n"/>
      <c r="K687" s="54" t="n"/>
      <c r="L687" s="54" t="n"/>
      <c r="M687" s="54" t="n"/>
    </row>
    <row r="688" ht="15.75" customHeight="1" s="51">
      <c r="A688" s="102" t="n"/>
      <c r="B688" s="102" t="n"/>
      <c r="C688" s="94" t="n"/>
      <c r="D688" s="54" t="n"/>
      <c r="E688" s="54" t="n"/>
      <c r="F688" s="54" t="n"/>
      <c r="G688" s="54" t="n"/>
      <c r="H688" s="54" t="n"/>
      <c r="I688" s="54" t="n"/>
      <c r="J688" s="54" t="n"/>
      <c r="K688" s="54" t="n"/>
      <c r="L688" s="54" t="n"/>
      <c r="M688" s="54" t="n"/>
    </row>
    <row r="689" ht="15.75" customHeight="1" s="51">
      <c r="A689" s="102" t="n"/>
      <c r="B689" s="102" t="n"/>
      <c r="C689" s="94" t="n"/>
      <c r="D689" s="54" t="n"/>
      <c r="E689" s="54" t="n"/>
      <c r="F689" s="54" t="n"/>
      <c r="G689" s="54" t="n"/>
      <c r="H689" s="54" t="n"/>
      <c r="I689" s="54" t="n"/>
      <c r="J689" s="54" t="n"/>
      <c r="K689" s="54" t="n"/>
      <c r="L689" s="54" t="n"/>
      <c r="M689" s="54" t="n"/>
    </row>
    <row r="690" ht="15.75" customHeight="1" s="51">
      <c r="A690" s="102" t="n"/>
      <c r="B690" s="102" t="n"/>
      <c r="C690" s="94" t="n"/>
      <c r="D690" s="54" t="n"/>
      <c r="E690" s="54" t="n"/>
      <c r="F690" s="54" t="n"/>
      <c r="G690" s="54" t="n"/>
      <c r="H690" s="54" t="n"/>
      <c r="I690" s="54" t="n"/>
      <c r="J690" s="54" t="n"/>
      <c r="K690" s="54" t="n"/>
      <c r="L690" s="54" t="n"/>
      <c r="M690" s="54" t="n"/>
    </row>
    <row r="691" ht="15.75" customHeight="1" s="51">
      <c r="A691" s="102" t="n"/>
      <c r="B691" s="102" t="n"/>
      <c r="C691" s="94" t="n"/>
      <c r="D691" s="54" t="n"/>
      <c r="E691" s="54" t="n"/>
      <c r="F691" s="54" t="n"/>
      <c r="G691" s="54" t="n"/>
      <c r="H691" s="54" t="n"/>
      <c r="I691" s="54" t="n"/>
      <c r="J691" s="54" t="n"/>
      <c r="K691" s="54" t="n"/>
      <c r="L691" s="54" t="n"/>
      <c r="M691" s="54" t="n"/>
    </row>
    <row r="692" ht="15.75" customHeight="1" s="51">
      <c r="A692" s="102" t="n"/>
      <c r="B692" s="102" t="n"/>
      <c r="C692" s="94" t="n"/>
      <c r="D692" s="54" t="n"/>
      <c r="E692" s="54" t="n"/>
      <c r="F692" s="54" t="n"/>
      <c r="G692" s="54" t="n"/>
      <c r="H692" s="54" t="n"/>
      <c r="I692" s="54" t="n"/>
      <c r="J692" s="54" t="n"/>
      <c r="K692" s="54" t="n"/>
      <c r="L692" s="54" t="n"/>
      <c r="M692" s="54" t="n"/>
    </row>
    <row r="693" ht="15.75" customHeight="1" s="51">
      <c r="A693" s="102" t="n"/>
      <c r="B693" s="102" t="n"/>
      <c r="C693" s="94" t="n"/>
      <c r="D693" s="54" t="n"/>
      <c r="E693" s="54" t="n"/>
      <c r="F693" s="54" t="n"/>
      <c r="G693" s="54" t="n"/>
      <c r="H693" s="54" t="n"/>
      <c r="I693" s="54" t="n"/>
      <c r="J693" s="54" t="n"/>
      <c r="K693" s="54" t="n"/>
      <c r="L693" s="54" t="n"/>
      <c r="M693" s="54" t="n"/>
    </row>
    <row r="694" ht="15.75" customHeight="1" s="51">
      <c r="A694" s="102" t="n"/>
      <c r="B694" s="102" t="n"/>
      <c r="C694" s="94" t="n"/>
      <c r="D694" s="54" t="n"/>
      <c r="E694" s="54" t="n"/>
      <c r="F694" s="54" t="n"/>
      <c r="G694" s="54" t="n"/>
      <c r="H694" s="54" t="n"/>
      <c r="I694" s="54" t="n"/>
      <c r="J694" s="54" t="n"/>
      <c r="K694" s="54" t="n"/>
      <c r="L694" s="54" t="n"/>
      <c r="M694" s="54" t="n"/>
    </row>
    <row r="695" ht="15.75" customHeight="1" s="51">
      <c r="A695" s="102" t="n"/>
      <c r="B695" s="102" t="n"/>
      <c r="C695" s="94" t="n"/>
      <c r="D695" s="54" t="n"/>
      <c r="E695" s="54" t="n"/>
      <c r="F695" s="54" t="n"/>
      <c r="G695" s="54" t="n"/>
      <c r="H695" s="54" t="n"/>
      <c r="I695" s="54" t="n"/>
      <c r="J695" s="54" t="n"/>
      <c r="K695" s="54" t="n"/>
      <c r="L695" s="54" t="n"/>
      <c r="M695" s="54" t="n"/>
    </row>
    <row r="696" ht="15.75" customHeight="1" s="51">
      <c r="A696" s="102" t="n"/>
      <c r="B696" s="102" t="n"/>
      <c r="C696" s="94" t="n"/>
      <c r="D696" s="54" t="n"/>
      <c r="E696" s="54" t="n"/>
      <c r="F696" s="54" t="n"/>
      <c r="G696" s="54" t="n"/>
      <c r="H696" s="54" t="n"/>
      <c r="I696" s="54" t="n"/>
      <c r="J696" s="54" t="n"/>
      <c r="K696" s="54" t="n"/>
      <c r="L696" s="54" t="n"/>
      <c r="M696" s="54" t="n"/>
    </row>
    <row r="697" ht="15.75" customHeight="1" s="51">
      <c r="A697" s="102" t="n"/>
      <c r="B697" s="102" t="n"/>
      <c r="C697" s="94" t="n"/>
      <c r="D697" s="54" t="n"/>
      <c r="E697" s="54" t="n"/>
      <c r="F697" s="54" t="n"/>
      <c r="G697" s="54" t="n"/>
      <c r="H697" s="54" t="n"/>
      <c r="I697" s="54" t="n"/>
      <c r="J697" s="54" t="n"/>
      <c r="K697" s="54" t="n"/>
      <c r="L697" s="54" t="n"/>
      <c r="M697" s="54" t="n"/>
    </row>
    <row r="698" ht="15.75" customHeight="1" s="51">
      <c r="A698" s="102" t="n"/>
      <c r="B698" s="102" t="n"/>
      <c r="C698" s="94" t="n"/>
      <c r="D698" s="54" t="n"/>
      <c r="E698" s="54" t="n"/>
      <c r="F698" s="54" t="n"/>
      <c r="G698" s="54" t="n"/>
      <c r="H698" s="54" t="n"/>
      <c r="I698" s="54" t="n"/>
      <c r="J698" s="54" t="n"/>
      <c r="K698" s="54" t="n"/>
      <c r="L698" s="54" t="n"/>
      <c r="M698" s="54" t="n"/>
    </row>
    <row r="699" ht="15.75" customHeight="1" s="51">
      <c r="A699" s="102" t="n"/>
      <c r="B699" s="102" t="n"/>
      <c r="C699" s="94" t="n"/>
      <c r="D699" s="54" t="n"/>
      <c r="E699" s="54" t="n"/>
      <c r="F699" s="54" t="n"/>
      <c r="G699" s="54" t="n"/>
      <c r="H699" s="54" t="n"/>
      <c r="I699" s="54" t="n"/>
      <c r="J699" s="54" t="n"/>
      <c r="K699" s="54" t="n"/>
      <c r="L699" s="54" t="n"/>
      <c r="M699" s="54" t="n"/>
    </row>
    <row r="700" ht="15.75" customHeight="1" s="51">
      <c r="A700" s="102" t="n"/>
      <c r="B700" s="102" t="n"/>
      <c r="C700" s="94" t="n"/>
      <c r="D700" s="54" t="n"/>
      <c r="E700" s="54" t="n"/>
      <c r="F700" s="54" t="n"/>
      <c r="G700" s="54" t="n"/>
      <c r="H700" s="54" t="n"/>
      <c r="I700" s="54" t="n"/>
      <c r="J700" s="54" t="n"/>
      <c r="K700" s="54" t="n"/>
      <c r="L700" s="54" t="n"/>
      <c r="M700" s="54" t="n"/>
    </row>
    <row r="701" ht="15.75" customHeight="1" s="51">
      <c r="A701" s="102" t="n"/>
      <c r="B701" s="102" t="n"/>
      <c r="C701" s="94" t="n"/>
      <c r="D701" s="54" t="n"/>
      <c r="E701" s="54" t="n"/>
      <c r="F701" s="54" t="n"/>
      <c r="G701" s="54" t="n"/>
      <c r="H701" s="54" t="n"/>
      <c r="I701" s="54" t="n"/>
      <c r="J701" s="54" t="n"/>
      <c r="K701" s="54" t="n"/>
      <c r="L701" s="54" t="n"/>
      <c r="M701" s="54" t="n"/>
    </row>
    <row r="702" ht="15.75" customHeight="1" s="51">
      <c r="A702" s="102" t="n"/>
      <c r="B702" s="102" t="n"/>
      <c r="C702" s="94" t="n"/>
      <c r="D702" s="54" t="n"/>
      <c r="E702" s="54" t="n"/>
      <c r="F702" s="54" t="n"/>
      <c r="G702" s="54" t="n"/>
      <c r="H702" s="54" t="n"/>
      <c r="I702" s="54" t="n"/>
      <c r="J702" s="54" t="n"/>
      <c r="K702" s="54" t="n"/>
      <c r="L702" s="54" t="n"/>
      <c r="M702" s="54" t="n"/>
    </row>
    <row r="703" ht="15.75" customHeight="1" s="51">
      <c r="A703" s="102" t="n"/>
      <c r="B703" s="102" t="n"/>
      <c r="C703" s="94" t="n"/>
      <c r="D703" s="54" t="n"/>
      <c r="E703" s="54" t="n"/>
      <c r="F703" s="54" t="n"/>
      <c r="G703" s="54" t="n"/>
      <c r="H703" s="54" t="n"/>
      <c r="I703" s="54" t="n"/>
      <c r="J703" s="54" t="n"/>
      <c r="K703" s="54" t="n"/>
      <c r="L703" s="54" t="n"/>
      <c r="M703" s="54" t="n"/>
    </row>
    <row r="704" ht="15.75" customHeight="1" s="51">
      <c r="A704" s="102" t="n"/>
      <c r="B704" s="102" t="n"/>
      <c r="C704" s="94" t="n"/>
      <c r="D704" s="54" t="n"/>
      <c r="E704" s="54" t="n"/>
      <c r="F704" s="54" t="n"/>
      <c r="G704" s="54" t="n"/>
      <c r="H704" s="54" t="n"/>
      <c r="I704" s="54" t="n"/>
      <c r="J704" s="54" t="n"/>
      <c r="K704" s="54" t="n"/>
      <c r="L704" s="54" t="n"/>
      <c r="M704" s="54" t="n"/>
    </row>
    <row r="705" ht="15.75" customHeight="1" s="51">
      <c r="A705" s="102" t="n"/>
      <c r="B705" s="102" t="n"/>
      <c r="C705" s="94" t="n"/>
      <c r="D705" s="54" t="n"/>
      <c r="E705" s="54" t="n"/>
      <c r="F705" s="54" t="n"/>
      <c r="G705" s="54" t="n"/>
      <c r="H705" s="54" t="n"/>
      <c r="I705" s="54" t="n"/>
      <c r="J705" s="54" t="n"/>
      <c r="K705" s="54" t="n"/>
      <c r="L705" s="54" t="n"/>
      <c r="M705" s="54" t="n"/>
    </row>
    <row r="706" ht="15.75" customHeight="1" s="51">
      <c r="A706" s="102" t="n"/>
      <c r="B706" s="102" t="n"/>
      <c r="C706" s="94" t="n"/>
      <c r="D706" s="54" t="n"/>
      <c r="E706" s="54" t="n"/>
      <c r="F706" s="54" t="n"/>
      <c r="G706" s="54" t="n"/>
      <c r="H706" s="54" t="n"/>
      <c r="I706" s="54" t="n"/>
      <c r="J706" s="54" t="n"/>
      <c r="K706" s="54" t="n"/>
      <c r="L706" s="54" t="n"/>
      <c r="M706" s="54" t="n"/>
    </row>
    <row r="707" ht="15.75" customHeight="1" s="51">
      <c r="A707" s="102" t="n"/>
      <c r="B707" s="102" t="n"/>
      <c r="C707" s="94" t="n"/>
      <c r="D707" s="54" t="n"/>
      <c r="E707" s="54" t="n"/>
      <c r="F707" s="54" t="n"/>
      <c r="G707" s="54" t="n"/>
      <c r="H707" s="54" t="n"/>
      <c r="I707" s="54" t="n"/>
      <c r="J707" s="54" t="n"/>
      <c r="K707" s="54" t="n"/>
      <c r="L707" s="54" t="n"/>
      <c r="M707" s="54" t="n"/>
    </row>
    <row r="708" ht="15.75" customHeight="1" s="51">
      <c r="A708" s="102" t="n"/>
      <c r="B708" s="102" t="n"/>
      <c r="C708" s="94" t="n"/>
      <c r="D708" s="54" t="n"/>
      <c r="E708" s="54" t="n"/>
      <c r="F708" s="54" t="n"/>
      <c r="G708" s="54" t="n"/>
      <c r="H708" s="54" t="n"/>
      <c r="I708" s="54" t="n"/>
      <c r="J708" s="54" t="n"/>
      <c r="K708" s="54" t="n"/>
      <c r="L708" s="54" t="n"/>
      <c r="M708" s="54" t="n"/>
    </row>
    <row r="709" ht="15.75" customHeight="1" s="51">
      <c r="A709" s="102" t="n"/>
      <c r="B709" s="102" t="n"/>
      <c r="C709" s="94" t="n"/>
      <c r="D709" s="54" t="n"/>
      <c r="E709" s="54" t="n"/>
      <c r="F709" s="54" t="n"/>
      <c r="G709" s="54" t="n"/>
      <c r="H709" s="54" t="n"/>
      <c r="I709" s="54" t="n"/>
      <c r="J709" s="54" t="n"/>
      <c r="K709" s="54" t="n"/>
      <c r="L709" s="54" t="n"/>
      <c r="M709" s="54" t="n"/>
    </row>
    <row r="710" ht="15.75" customHeight="1" s="51">
      <c r="A710" s="102" t="n"/>
      <c r="B710" s="102" t="n"/>
      <c r="C710" s="94" t="n"/>
      <c r="D710" s="54" t="n"/>
      <c r="E710" s="54" t="n"/>
      <c r="F710" s="54" t="n"/>
      <c r="G710" s="54" t="n"/>
      <c r="H710" s="54" t="n"/>
      <c r="I710" s="54" t="n"/>
      <c r="J710" s="54" t="n"/>
      <c r="K710" s="54" t="n"/>
      <c r="L710" s="54" t="n"/>
      <c r="M710" s="54" t="n"/>
    </row>
    <row r="711" ht="15.75" customHeight="1" s="51">
      <c r="A711" s="102" t="n"/>
      <c r="B711" s="102" t="n"/>
      <c r="C711" s="94" t="n"/>
      <c r="D711" s="54" t="n"/>
      <c r="E711" s="54" t="n"/>
      <c r="F711" s="54" t="n"/>
      <c r="G711" s="54" t="n"/>
      <c r="H711" s="54" t="n"/>
      <c r="I711" s="54" t="n"/>
      <c r="J711" s="54" t="n"/>
      <c r="K711" s="54" t="n"/>
      <c r="L711" s="54" t="n"/>
      <c r="M711" s="54" t="n"/>
    </row>
    <row r="712" ht="15.75" customHeight="1" s="51">
      <c r="A712" s="102" t="n"/>
      <c r="B712" s="102" t="n"/>
      <c r="C712" s="94" t="n"/>
      <c r="D712" s="54" t="n"/>
      <c r="E712" s="54" t="n"/>
      <c r="F712" s="54" t="n"/>
      <c r="G712" s="54" t="n"/>
      <c r="H712" s="54" t="n"/>
      <c r="I712" s="54" t="n"/>
      <c r="J712" s="54" t="n"/>
      <c r="K712" s="54" t="n"/>
      <c r="L712" s="54" t="n"/>
      <c r="M712" s="54" t="n"/>
    </row>
    <row r="713" ht="15.75" customHeight="1" s="51">
      <c r="A713" s="102" t="n"/>
      <c r="B713" s="102" t="n"/>
      <c r="C713" s="94" t="n"/>
      <c r="D713" s="54" t="n"/>
      <c r="E713" s="54" t="n"/>
      <c r="F713" s="54" t="n"/>
      <c r="G713" s="54" t="n"/>
      <c r="H713" s="54" t="n"/>
      <c r="I713" s="54" t="n"/>
      <c r="J713" s="54" t="n"/>
      <c r="K713" s="54" t="n"/>
      <c r="L713" s="54" t="n"/>
      <c r="M713" s="54" t="n"/>
    </row>
    <row r="714" ht="15.75" customHeight="1" s="51">
      <c r="A714" s="102" t="n"/>
      <c r="B714" s="102" t="n"/>
      <c r="C714" s="94" t="n"/>
      <c r="D714" s="54" t="n"/>
      <c r="E714" s="54" t="n"/>
      <c r="F714" s="54" t="n"/>
      <c r="G714" s="54" t="n"/>
      <c r="H714" s="54" t="n"/>
      <c r="I714" s="54" t="n"/>
      <c r="J714" s="54" t="n"/>
      <c r="K714" s="54" t="n"/>
      <c r="L714" s="54" t="n"/>
      <c r="M714" s="54" t="n"/>
    </row>
    <row r="715" ht="15.75" customHeight="1" s="51">
      <c r="A715" s="102" t="n"/>
      <c r="B715" s="102" t="n"/>
      <c r="C715" s="94" t="n"/>
      <c r="D715" s="54" t="n"/>
      <c r="E715" s="54" t="n"/>
      <c r="F715" s="54" t="n"/>
      <c r="G715" s="54" t="n"/>
      <c r="H715" s="54" t="n"/>
      <c r="I715" s="54" t="n"/>
      <c r="J715" s="54" t="n"/>
      <c r="K715" s="54" t="n"/>
      <c r="L715" s="54" t="n"/>
      <c r="M715" s="54" t="n"/>
    </row>
    <row r="716" ht="15.75" customHeight="1" s="51">
      <c r="A716" s="102" t="n"/>
      <c r="B716" s="102" t="n"/>
      <c r="C716" s="94" t="n"/>
      <c r="D716" s="54" t="n"/>
      <c r="E716" s="54" t="n"/>
      <c r="F716" s="54" t="n"/>
      <c r="G716" s="54" t="n"/>
      <c r="H716" s="54" t="n"/>
      <c r="I716" s="54" t="n"/>
      <c r="J716" s="54" t="n"/>
      <c r="K716" s="54" t="n"/>
      <c r="L716" s="54" t="n"/>
      <c r="M716" s="54" t="n"/>
    </row>
    <row r="717" ht="15.75" customHeight="1" s="51">
      <c r="A717" s="102" t="n"/>
      <c r="B717" s="102" t="n"/>
      <c r="C717" s="94" t="n"/>
      <c r="D717" s="54" t="n"/>
      <c r="E717" s="54" t="n"/>
      <c r="F717" s="54" t="n"/>
      <c r="G717" s="54" t="n"/>
      <c r="H717" s="54" t="n"/>
      <c r="I717" s="54" t="n"/>
      <c r="J717" s="54" t="n"/>
      <c r="K717" s="54" t="n"/>
      <c r="L717" s="54" t="n"/>
      <c r="M717" s="54" t="n"/>
    </row>
    <row r="718" ht="15.75" customHeight="1" s="51">
      <c r="A718" s="102" t="n"/>
      <c r="B718" s="102" t="n"/>
      <c r="C718" s="94" t="n"/>
      <c r="D718" s="54" t="n"/>
      <c r="E718" s="54" t="n"/>
      <c r="F718" s="54" t="n"/>
      <c r="G718" s="54" t="n"/>
      <c r="H718" s="54" t="n"/>
      <c r="I718" s="54" t="n"/>
      <c r="J718" s="54" t="n"/>
      <c r="K718" s="54" t="n"/>
      <c r="L718" s="54" t="n"/>
      <c r="M718" s="54" t="n"/>
    </row>
    <row r="719" ht="15.75" customHeight="1" s="51">
      <c r="A719" s="102" t="n"/>
      <c r="B719" s="102" t="n"/>
      <c r="C719" s="94" t="n"/>
      <c r="D719" s="54" t="n"/>
      <c r="E719" s="54" t="n"/>
      <c r="F719" s="54" t="n"/>
      <c r="G719" s="54" t="n"/>
      <c r="H719" s="54" t="n"/>
      <c r="I719" s="54" t="n"/>
      <c r="J719" s="54" t="n"/>
      <c r="K719" s="54" t="n"/>
      <c r="L719" s="54" t="n"/>
      <c r="M719" s="54" t="n"/>
    </row>
    <row r="720" ht="15.75" customHeight="1" s="51">
      <c r="A720" s="102" t="n"/>
      <c r="B720" s="102" t="n"/>
      <c r="C720" s="94" t="n"/>
      <c r="D720" s="54" t="n"/>
      <c r="E720" s="54" t="n"/>
      <c r="F720" s="54" t="n"/>
      <c r="G720" s="54" t="n"/>
      <c r="H720" s="54" t="n"/>
      <c r="I720" s="54" t="n"/>
      <c r="J720" s="54" t="n"/>
      <c r="K720" s="54" t="n"/>
      <c r="L720" s="54" t="n"/>
      <c r="M720" s="54" t="n"/>
    </row>
    <row r="721" ht="15.75" customHeight="1" s="51">
      <c r="A721" s="102" t="n"/>
      <c r="B721" s="102" t="n"/>
      <c r="C721" s="94" t="n"/>
      <c r="D721" s="54" t="n"/>
      <c r="E721" s="54" t="n"/>
      <c r="F721" s="54" t="n"/>
      <c r="G721" s="54" t="n"/>
      <c r="H721" s="54" t="n"/>
      <c r="I721" s="54" t="n"/>
      <c r="J721" s="54" t="n"/>
      <c r="K721" s="54" t="n"/>
      <c r="L721" s="54" t="n"/>
      <c r="M721" s="54" t="n"/>
    </row>
    <row r="722" ht="15.75" customHeight="1" s="51">
      <c r="A722" s="102" t="n"/>
      <c r="B722" s="102" t="n"/>
      <c r="C722" s="94" t="n"/>
      <c r="D722" s="54" t="n"/>
      <c r="E722" s="54" t="n"/>
      <c r="F722" s="54" t="n"/>
      <c r="G722" s="54" t="n"/>
      <c r="H722" s="54" t="n"/>
      <c r="I722" s="54" t="n"/>
      <c r="J722" s="54" t="n"/>
      <c r="K722" s="54" t="n"/>
      <c r="L722" s="54" t="n"/>
      <c r="M722" s="54" t="n"/>
    </row>
    <row r="723" ht="15.75" customHeight="1" s="51">
      <c r="A723" s="102" t="n"/>
      <c r="B723" s="102" t="n"/>
      <c r="C723" s="94" t="n"/>
      <c r="D723" s="54" t="n"/>
      <c r="E723" s="54" t="n"/>
      <c r="F723" s="54" t="n"/>
      <c r="G723" s="54" t="n"/>
      <c r="H723" s="54" t="n"/>
      <c r="I723" s="54" t="n"/>
      <c r="J723" s="54" t="n"/>
      <c r="K723" s="54" t="n"/>
      <c r="L723" s="54" t="n"/>
      <c r="M723" s="54" t="n"/>
    </row>
    <row r="724" ht="15.75" customHeight="1" s="51">
      <c r="A724" s="102" t="n"/>
      <c r="B724" s="102" t="n"/>
      <c r="C724" s="94" t="n"/>
      <c r="D724" s="54" t="n"/>
      <c r="E724" s="54" t="n"/>
      <c r="F724" s="54" t="n"/>
      <c r="G724" s="54" t="n"/>
      <c r="H724" s="54" t="n"/>
      <c r="I724" s="54" t="n"/>
      <c r="J724" s="54" t="n"/>
      <c r="K724" s="54" t="n"/>
      <c r="L724" s="54" t="n"/>
      <c r="M724" s="54" t="n"/>
    </row>
    <row r="725" ht="15.75" customHeight="1" s="51">
      <c r="A725" s="102" t="n"/>
      <c r="B725" s="102" t="n"/>
      <c r="C725" s="94" t="n"/>
      <c r="D725" s="54" t="n"/>
      <c r="E725" s="54" t="n"/>
      <c r="F725" s="54" t="n"/>
      <c r="G725" s="54" t="n"/>
      <c r="H725" s="54" t="n"/>
      <c r="I725" s="54" t="n"/>
      <c r="J725" s="54" t="n"/>
      <c r="K725" s="54" t="n"/>
      <c r="L725" s="54" t="n"/>
      <c r="M725" s="54" t="n"/>
    </row>
    <row r="726" ht="15.75" customHeight="1" s="51">
      <c r="A726" s="102" t="n"/>
      <c r="B726" s="102" t="n"/>
      <c r="C726" s="94" t="n"/>
      <c r="D726" s="54" t="n"/>
      <c r="E726" s="54" t="n"/>
      <c r="F726" s="54" t="n"/>
      <c r="G726" s="54" t="n"/>
      <c r="H726" s="54" t="n"/>
      <c r="I726" s="54" t="n"/>
      <c r="J726" s="54" t="n"/>
      <c r="K726" s="54" t="n"/>
      <c r="L726" s="54" t="n"/>
      <c r="M726" s="54" t="n"/>
    </row>
    <row r="727" ht="15.75" customHeight="1" s="51">
      <c r="A727" s="102" t="n"/>
      <c r="B727" s="102" t="n"/>
      <c r="C727" s="94" t="n"/>
      <c r="D727" s="54" t="n"/>
      <c r="E727" s="54" t="n"/>
      <c r="F727" s="54" t="n"/>
      <c r="G727" s="54" t="n"/>
      <c r="H727" s="54" t="n"/>
      <c r="I727" s="54" t="n"/>
      <c r="J727" s="54" t="n"/>
      <c r="K727" s="54" t="n"/>
      <c r="L727" s="54" t="n"/>
      <c r="M727" s="54" t="n"/>
    </row>
    <row r="728" ht="15.75" customHeight="1" s="51">
      <c r="A728" s="102" t="n"/>
      <c r="B728" s="102" t="n"/>
      <c r="C728" s="94" t="n"/>
      <c r="D728" s="54" t="n"/>
      <c r="E728" s="54" t="n"/>
      <c r="F728" s="54" t="n"/>
      <c r="G728" s="54" t="n"/>
      <c r="H728" s="54" t="n"/>
      <c r="I728" s="54" t="n"/>
      <c r="J728" s="54" t="n"/>
      <c r="K728" s="54" t="n"/>
      <c r="L728" s="54" t="n"/>
      <c r="M728" s="54" t="n"/>
    </row>
    <row r="729" ht="15.75" customHeight="1" s="51">
      <c r="A729" s="102" t="n"/>
      <c r="B729" s="102" t="n"/>
      <c r="C729" s="94" t="n"/>
      <c r="D729" s="54" t="n"/>
      <c r="E729" s="54" t="n"/>
      <c r="F729" s="54" t="n"/>
      <c r="G729" s="54" t="n"/>
      <c r="H729" s="54" t="n"/>
      <c r="I729" s="54" t="n"/>
      <c r="J729" s="54" t="n"/>
      <c r="K729" s="54" t="n"/>
      <c r="L729" s="54" t="n"/>
      <c r="M729" s="54" t="n"/>
    </row>
    <row r="730" ht="15.75" customHeight="1" s="51">
      <c r="A730" s="102" t="n"/>
      <c r="B730" s="102" t="n"/>
      <c r="C730" s="94" t="n"/>
      <c r="D730" s="54" t="n"/>
      <c r="E730" s="54" t="n"/>
      <c r="F730" s="54" t="n"/>
      <c r="G730" s="54" t="n"/>
      <c r="H730" s="54" t="n"/>
      <c r="I730" s="54" t="n"/>
      <c r="J730" s="54" t="n"/>
      <c r="K730" s="54" t="n"/>
      <c r="L730" s="54" t="n"/>
      <c r="M730" s="54" t="n"/>
    </row>
    <row r="731" ht="15.75" customHeight="1" s="51">
      <c r="A731" s="102" t="n"/>
      <c r="B731" s="102" t="n"/>
      <c r="C731" s="94" t="n"/>
      <c r="D731" s="54" t="n"/>
      <c r="E731" s="54" t="n"/>
      <c r="F731" s="54" t="n"/>
      <c r="G731" s="54" t="n"/>
      <c r="H731" s="54" t="n"/>
      <c r="I731" s="54" t="n"/>
      <c r="J731" s="54" t="n"/>
      <c r="K731" s="54" t="n"/>
      <c r="L731" s="54" t="n"/>
      <c r="M731" s="54" t="n"/>
    </row>
    <row r="732" ht="15.75" customHeight="1" s="51">
      <c r="A732" s="102" t="n"/>
      <c r="B732" s="102" t="n"/>
      <c r="C732" s="94" t="n"/>
      <c r="D732" s="54" t="n"/>
      <c r="E732" s="54" t="n"/>
      <c r="F732" s="54" t="n"/>
      <c r="G732" s="54" t="n"/>
      <c r="H732" s="54" t="n"/>
      <c r="I732" s="54" t="n"/>
      <c r="J732" s="54" t="n"/>
      <c r="K732" s="54" t="n"/>
      <c r="L732" s="54" t="n"/>
      <c r="M732" s="54" t="n"/>
    </row>
    <row r="733" ht="15.75" customHeight="1" s="51">
      <c r="A733" s="102" t="n"/>
      <c r="B733" s="102" t="n"/>
      <c r="C733" s="94" t="n"/>
      <c r="D733" s="54" t="n"/>
      <c r="E733" s="54" t="n"/>
      <c r="F733" s="54" t="n"/>
      <c r="G733" s="54" t="n"/>
      <c r="H733" s="54" t="n"/>
      <c r="I733" s="54" t="n"/>
      <c r="J733" s="54" t="n"/>
      <c r="K733" s="54" t="n"/>
      <c r="L733" s="54" t="n"/>
      <c r="M733" s="54" t="n"/>
    </row>
    <row r="734" ht="15.75" customHeight="1" s="51">
      <c r="A734" s="102" t="n"/>
      <c r="B734" s="102" t="n"/>
      <c r="C734" s="94" t="n"/>
      <c r="D734" s="54" t="n"/>
      <c r="E734" s="54" t="n"/>
      <c r="F734" s="54" t="n"/>
      <c r="G734" s="54" t="n"/>
      <c r="H734" s="54" t="n"/>
      <c r="I734" s="54" t="n"/>
      <c r="J734" s="54" t="n"/>
      <c r="K734" s="54" t="n"/>
      <c r="L734" s="54" t="n"/>
      <c r="M734" s="54" t="n"/>
    </row>
    <row r="735" ht="15.75" customHeight="1" s="51">
      <c r="A735" s="102" t="n"/>
      <c r="B735" s="102" t="n"/>
      <c r="C735" s="94" t="n"/>
      <c r="D735" s="54" t="n"/>
      <c r="E735" s="54" t="n"/>
      <c r="F735" s="54" t="n"/>
      <c r="G735" s="54" t="n"/>
      <c r="H735" s="54" t="n"/>
      <c r="I735" s="54" t="n"/>
      <c r="J735" s="54" t="n"/>
      <c r="K735" s="54" t="n"/>
      <c r="L735" s="54" t="n"/>
      <c r="M735" s="54" t="n"/>
    </row>
    <row r="736" ht="15.75" customHeight="1" s="51">
      <c r="A736" s="102" t="n"/>
      <c r="B736" s="102" t="n"/>
      <c r="C736" s="94" t="n"/>
      <c r="D736" s="54" t="n"/>
      <c r="E736" s="54" t="n"/>
      <c r="F736" s="54" t="n"/>
      <c r="G736" s="54" t="n"/>
      <c r="H736" s="54" t="n"/>
      <c r="I736" s="54" t="n"/>
      <c r="J736" s="54" t="n"/>
      <c r="K736" s="54" t="n"/>
      <c r="L736" s="54" t="n"/>
      <c r="M736" s="54" t="n"/>
    </row>
    <row r="737" ht="15.75" customHeight="1" s="51">
      <c r="A737" s="102" t="n"/>
      <c r="B737" s="102" t="n"/>
      <c r="C737" s="94" t="n"/>
      <c r="D737" s="54" t="n"/>
      <c r="E737" s="54" t="n"/>
      <c r="F737" s="54" t="n"/>
      <c r="G737" s="54" t="n"/>
      <c r="H737" s="54" t="n"/>
      <c r="I737" s="54" t="n"/>
      <c r="J737" s="54" t="n"/>
      <c r="K737" s="54" t="n"/>
      <c r="L737" s="54" t="n"/>
      <c r="M737" s="54" t="n"/>
    </row>
    <row r="738" ht="15.75" customHeight="1" s="51">
      <c r="A738" s="102" t="n"/>
      <c r="B738" s="102" t="n"/>
      <c r="C738" s="94" t="n"/>
      <c r="D738" s="54" t="n"/>
      <c r="E738" s="54" t="n"/>
      <c r="F738" s="54" t="n"/>
      <c r="G738" s="54" t="n"/>
      <c r="H738" s="54" t="n"/>
      <c r="I738" s="54" t="n"/>
      <c r="J738" s="54" t="n"/>
      <c r="K738" s="54" t="n"/>
      <c r="L738" s="54" t="n"/>
      <c r="M738" s="54" t="n"/>
    </row>
    <row r="739" ht="15.75" customHeight="1" s="51">
      <c r="A739" s="102" t="n"/>
      <c r="B739" s="102" t="n"/>
      <c r="C739" s="94" t="n"/>
      <c r="D739" s="54" t="n"/>
      <c r="E739" s="54" t="n"/>
      <c r="F739" s="54" t="n"/>
      <c r="G739" s="54" t="n"/>
      <c r="H739" s="54" t="n"/>
      <c r="I739" s="54" t="n"/>
      <c r="J739" s="54" t="n"/>
      <c r="K739" s="54" t="n"/>
      <c r="L739" s="54" t="n"/>
      <c r="M739" s="54" t="n"/>
    </row>
    <row r="740" ht="15.75" customHeight="1" s="51">
      <c r="A740" s="102" t="n"/>
      <c r="B740" s="102" t="n"/>
      <c r="C740" s="94" t="n"/>
      <c r="D740" s="54" t="n"/>
      <c r="E740" s="54" t="n"/>
      <c r="F740" s="54" t="n"/>
      <c r="G740" s="54" t="n"/>
      <c r="H740" s="54" t="n"/>
      <c r="I740" s="54" t="n"/>
      <c r="J740" s="54" t="n"/>
      <c r="K740" s="54" t="n"/>
      <c r="L740" s="54" t="n"/>
      <c r="M740" s="54" t="n"/>
    </row>
    <row r="741" ht="15.75" customHeight="1" s="51">
      <c r="A741" s="102" t="n"/>
      <c r="B741" s="102" t="n"/>
      <c r="C741" s="94" t="n"/>
      <c r="D741" s="54" t="n"/>
      <c r="E741" s="54" t="n"/>
      <c r="F741" s="54" t="n"/>
      <c r="G741" s="54" t="n"/>
      <c r="H741" s="54" t="n"/>
      <c r="I741" s="54" t="n"/>
      <c r="J741" s="54" t="n"/>
      <c r="K741" s="54" t="n"/>
      <c r="L741" s="54" t="n"/>
      <c r="M741" s="54" t="n"/>
    </row>
    <row r="742" ht="15.75" customHeight="1" s="51">
      <c r="A742" s="102" t="n"/>
      <c r="B742" s="102" t="n"/>
      <c r="C742" s="94" t="n"/>
      <c r="D742" s="54" t="n"/>
      <c r="E742" s="54" t="n"/>
      <c r="F742" s="54" t="n"/>
      <c r="G742" s="54" t="n"/>
      <c r="H742" s="54" t="n"/>
      <c r="I742" s="54" t="n"/>
      <c r="J742" s="54" t="n"/>
      <c r="K742" s="54" t="n"/>
      <c r="L742" s="54" t="n"/>
      <c r="M742" s="54" t="n"/>
    </row>
    <row r="743" ht="15.75" customHeight="1" s="51">
      <c r="A743" s="102" t="n"/>
      <c r="B743" s="102" t="n"/>
      <c r="C743" s="94" t="n"/>
      <c r="D743" s="54" t="n"/>
      <c r="E743" s="54" t="n"/>
      <c r="F743" s="54" t="n"/>
      <c r="G743" s="54" t="n"/>
      <c r="H743" s="54" t="n"/>
      <c r="I743" s="54" t="n"/>
      <c r="J743" s="54" t="n"/>
      <c r="K743" s="54" t="n"/>
      <c r="L743" s="54" t="n"/>
      <c r="M743" s="54" t="n"/>
    </row>
    <row r="744" ht="15.75" customHeight="1" s="51">
      <c r="A744" s="102" t="n"/>
      <c r="B744" s="102" t="n"/>
      <c r="C744" s="94" t="n"/>
      <c r="D744" s="54" t="n"/>
      <c r="E744" s="54" t="n"/>
      <c r="F744" s="54" t="n"/>
      <c r="G744" s="54" t="n"/>
      <c r="H744" s="54" t="n"/>
      <c r="I744" s="54" t="n"/>
      <c r="J744" s="54" t="n"/>
      <c r="K744" s="54" t="n"/>
      <c r="L744" s="54" t="n"/>
      <c r="M744" s="54" t="n"/>
    </row>
    <row r="745" ht="15.75" customHeight="1" s="51">
      <c r="A745" s="102" t="n"/>
      <c r="B745" s="102" t="n"/>
      <c r="C745" s="94" t="n"/>
      <c r="D745" s="54" t="n"/>
      <c r="E745" s="54" t="n"/>
      <c r="F745" s="54" t="n"/>
      <c r="G745" s="54" t="n"/>
      <c r="H745" s="54" t="n"/>
      <c r="I745" s="54" t="n"/>
      <c r="J745" s="54" t="n"/>
      <c r="K745" s="54" t="n"/>
      <c r="L745" s="54" t="n"/>
      <c r="M745" s="54" t="n"/>
    </row>
    <row r="746" ht="15.75" customHeight="1" s="51">
      <c r="A746" s="102" t="n"/>
      <c r="B746" s="102" t="n"/>
      <c r="C746" s="94" t="n"/>
      <c r="D746" s="54" t="n"/>
      <c r="E746" s="54" t="n"/>
      <c r="F746" s="54" t="n"/>
      <c r="G746" s="54" t="n"/>
      <c r="H746" s="54" t="n"/>
      <c r="I746" s="54" t="n"/>
      <c r="J746" s="54" t="n"/>
      <c r="K746" s="54" t="n"/>
      <c r="L746" s="54" t="n"/>
      <c r="M746" s="54" t="n"/>
    </row>
    <row r="747" ht="15.75" customHeight="1" s="51">
      <c r="A747" s="102" t="n"/>
      <c r="B747" s="102" t="n"/>
      <c r="C747" s="94" t="n"/>
      <c r="D747" s="54" t="n"/>
      <c r="E747" s="54" t="n"/>
      <c r="F747" s="54" t="n"/>
      <c r="G747" s="54" t="n"/>
      <c r="H747" s="54" t="n"/>
      <c r="I747" s="54" t="n"/>
      <c r="J747" s="54" t="n"/>
      <c r="K747" s="54" t="n"/>
      <c r="L747" s="54" t="n"/>
      <c r="M747" s="54" t="n"/>
    </row>
    <row r="748" ht="15.75" customHeight="1" s="51">
      <c r="A748" s="102" t="n"/>
      <c r="B748" s="102" t="n"/>
      <c r="C748" s="94" t="n"/>
      <c r="D748" s="54" t="n"/>
      <c r="E748" s="54" t="n"/>
      <c r="F748" s="54" t="n"/>
      <c r="G748" s="54" t="n"/>
      <c r="H748" s="54" t="n"/>
      <c r="I748" s="54" t="n"/>
      <c r="J748" s="54" t="n"/>
      <c r="K748" s="54" t="n"/>
      <c r="L748" s="54" t="n"/>
      <c r="M748" s="54" t="n"/>
    </row>
    <row r="749" ht="15.75" customHeight="1" s="51">
      <c r="A749" s="102" t="n"/>
      <c r="B749" s="102" t="n"/>
      <c r="C749" s="94" t="n"/>
      <c r="D749" s="54" t="n"/>
      <c r="E749" s="54" t="n"/>
      <c r="F749" s="54" t="n"/>
      <c r="G749" s="54" t="n"/>
      <c r="H749" s="54" t="n"/>
      <c r="I749" s="54" t="n"/>
      <c r="J749" s="54" t="n"/>
      <c r="K749" s="54" t="n"/>
      <c r="L749" s="54" t="n"/>
      <c r="M749" s="54" t="n"/>
    </row>
    <row r="750" ht="15.75" customHeight="1" s="51">
      <c r="A750" s="102" t="n"/>
      <c r="B750" s="102" t="n"/>
      <c r="C750" s="94" t="n"/>
      <c r="D750" s="54" t="n"/>
      <c r="E750" s="54" t="n"/>
      <c r="F750" s="54" t="n"/>
      <c r="G750" s="54" t="n"/>
      <c r="H750" s="54" t="n"/>
      <c r="I750" s="54" t="n"/>
      <c r="J750" s="54" t="n"/>
      <c r="K750" s="54" t="n"/>
      <c r="L750" s="54" t="n"/>
      <c r="M750" s="54" t="n"/>
    </row>
    <row r="751" ht="15.75" customHeight="1" s="51">
      <c r="A751" s="102" t="n"/>
      <c r="B751" s="102" t="n"/>
      <c r="C751" s="94" t="n"/>
      <c r="D751" s="54" t="n"/>
      <c r="E751" s="54" t="n"/>
      <c r="F751" s="54" t="n"/>
      <c r="G751" s="54" t="n"/>
      <c r="H751" s="54" t="n"/>
      <c r="I751" s="54" t="n"/>
      <c r="J751" s="54" t="n"/>
      <c r="K751" s="54" t="n"/>
      <c r="L751" s="54" t="n"/>
      <c r="M751" s="54" t="n"/>
    </row>
    <row r="752" ht="15.75" customHeight="1" s="51">
      <c r="A752" s="102" t="n"/>
      <c r="B752" s="102" t="n"/>
      <c r="C752" s="94" t="n"/>
      <c r="D752" s="54" t="n"/>
      <c r="E752" s="54" t="n"/>
      <c r="F752" s="54" t="n"/>
      <c r="G752" s="54" t="n"/>
      <c r="H752" s="54" t="n"/>
      <c r="I752" s="54" t="n"/>
      <c r="J752" s="54" t="n"/>
      <c r="K752" s="54" t="n"/>
      <c r="L752" s="54" t="n"/>
      <c r="M752" s="54" t="n"/>
    </row>
    <row r="753" ht="15.75" customHeight="1" s="51">
      <c r="A753" s="102" t="n"/>
      <c r="B753" s="102" t="n"/>
      <c r="C753" s="94" t="n"/>
      <c r="D753" s="54" t="n"/>
      <c r="E753" s="54" t="n"/>
      <c r="F753" s="54" t="n"/>
      <c r="G753" s="54" t="n"/>
      <c r="H753" s="54" t="n"/>
      <c r="I753" s="54" t="n"/>
      <c r="J753" s="54" t="n"/>
      <c r="K753" s="54" t="n"/>
      <c r="L753" s="54" t="n"/>
      <c r="M753" s="54" t="n"/>
    </row>
    <row r="754" ht="15.75" customHeight="1" s="51">
      <c r="A754" s="102" t="n"/>
      <c r="B754" s="102" t="n"/>
      <c r="C754" s="94" t="n"/>
      <c r="D754" s="54" t="n"/>
      <c r="E754" s="54" t="n"/>
      <c r="F754" s="54" t="n"/>
      <c r="G754" s="54" t="n"/>
      <c r="H754" s="54" t="n"/>
      <c r="I754" s="54" t="n"/>
      <c r="J754" s="54" t="n"/>
      <c r="K754" s="54" t="n"/>
      <c r="L754" s="54" t="n"/>
      <c r="M754" s="54" t="n"/>
    </row>
    <row r="755" ht="15.75" customHeight="1" s="51">
      <c r="A755" s="102" t="n"/>
      <c r="B755" s="102" t="n"/>
      <c r="C755" s="94" t="n"/>
      <c r="D755" s="54" t="n"/>
      <c r="E755" s="54" t="n"/>
      <c r="F755" s="54" t="n"/>
      <c r="G755" s="54" t="n"/>
      <c r="H755" s="54" t="n"/>
      <c r="I755" s="54" t="n"/>
      <c r="J755" s="54" t="n"/>
      <c r="K755" s="54" t="n"/>
      <c r="L755" s="54" t="n"/>
      <c r="M755" s="54" t="n"/>
    </row>
    <row r="756" ht="15.75" customHeight="1" s="51">
      <c r="A756" s="102" t="n"/>
      <c r="B756" s="102" t="n"/>
      <c r="C756" s="94" t="n"/>
      <c r="D756" s="54" t="n"/>
      <c r="E756" s="54" t="n"/>
      <c r="F756" s="54" t="n"/>
      <c r="G756" s="54" t="n"/>
      <c r="H756" s="54" t="n"/>
      <c r="I756" s="54" t="n"/>
      <c r="J756" s="54" t="n"/>
      <c r="K756" s="54" t="n"/>
      <c r="L756" s="54" t="n"/>
      <c r="M756" s="54" t="n"/>
    </row>
    <row r="757" ht="15.75" customHeight="1" s="51">
      <c r="A757" s="102" t="n"/>
      <c r="B757" s="102" t="n"/>
      <c r="C757" s="94" t="n"/>
      <c r="D757" s="54" t="n"/>
      <c r="E757" s="54" t="n"/>
      <c r="F757" s="54" t="n"/>
      <c r="G757" s="54" t="n"/>
      <c r="H757" s="54" t="n"/>
      <c r="I757" s="54" t="n"/>
      <c r="J757" s="54" t="n"/>
      <c r="K757" s="54" t="n"/>
      <c r="L757" s="54" t="n"/>
      <c r="M757" s="54" t="n"/>
    </row>
    <row r="758" ht="15.75" customHeight="1" s="51">
      <c r="A758" s="102" t="n"/>
      <c r="B758" s="102" t="n"/>
      <c r="C758" s="94" t="n"/>
      <c r="D758" s="54" t="n"/>
      <c r="E758" s="54" t="n"/>
      <c r="F758" s="54" t="n"/>
      <c r="G758" s="54" t="n"/>
      <c r="H758" s="54" t="n"/>
      <c r="I758" s="54" t="n"/>
      <c r="J758" s="54" t="n"/>
      <c r="K758" s="54" t="n"/>
      <c r="L758" s="54" t="n"/>
      <c r="M758" s="54" t="n"/>
    </row>
    <row r="759" ht="15.75" customHeight="1" s="51">
      <c r="A759" s="102" t="n"/>
      <c r="B759" s="102" t="n"/>
      <c r="C759" s="94" t="n"/>
      <c r="D759" s="54" t="n"/>
      <c r="E759" s="54" t="n"/>
      <c r="F759" s="54" t="n"/>
      <c r="G759" s="54" t="n"/>
      <c r="H759" s="54" t="n"/>
      <c r="I759" s="54" t="n"/>
      <c r="J759" s="54" t="n"/>
      <c r="K759" s="54" t="n"/>
      <c r="L759" s="54" t="n"/>
      <c r="M759" s="54" t="n"/>
    </row>
    <row r="760" ht="15.75" customHeight="1" s="51">
      <c r="A760" s="102" t="n"/>
      <c r="B760" s="102" t="n"/>
      <c r="C760" s="94" t="n"/>
      <c r="D760" s="54" t="n"/>
      <c r="E760" s="54" t="n"/>
      <c r="F760" s="54" t="n"/>
      <c r="G760" s="54" t="n"/>
      <c r="H760" s="54" t="n"/>
      <c r="I760" s="54" t="n"/>
      <c r="J760" s="54" t="n"/>
      <c r="K760" s="54" t="n"/>
      <c r="L760" s="54" t="n"/>
      <c r="M760" s="54" t="n"/>
    </row>
    <row r="761" ht="15.75" customHeight="1" s="51">
      <c r="A761" s="102" t="n"/>
      <c r="B761" s="102" t="n"/>
      <c r="C761" s="94" t="n"/>
      <c r="D761" s="54" t="n"/>
      <c r="E761" s="54" t="n"/>
      <c r="F761" s="54" t="n"/>
      <c r="G761" s="54" t="n"/>
      <c r="H761" s="54" t="n"/>
      <c r="I761" s="54" t="n"/>
      <c r="J761" s="54" t="n"/>
      <c r="K761" s="54" t="n"/>
      <c r="L761" s="54" t="n"/>
      <c r="M761" s="54" t="n"/>
    </row>
    <row r="762" ht="15.75" customHeight="1" s="51">
      <c r="A762" s="102" t="n"/>
      <c r="B762" s="102" t="n"/>
      <c r="C762" s="94" t="n"/>
      <c r="D762" s="54" t="n"/>
      <c r="E762" s="54" t="n"/>
      <c r="F762" s="54" t="n"/>
      <c r="G762" s="54" t="n"/>
      <c r="H762" s="54" t="n"/>
      <c r="I762" s="54" t="n"/>
      <c r="J762" s="54" t="n"/>
      <c r="K762" s="54" t="n"/>
      <c r="L762" s="54" t="n"/>
      <c r="M762" s="54" t="n"/>
    </row>
    <row r="763" ht="15.75" customHeight="1" s="51">
      <c r="A763" s="102" t="n"/>
      <c r="B763" s="102" t="n"/>
      <c r="C763" s="94" t="n"/>
      <c r="D763" s="54" t="n"/>
      <c r="E763" s="54" t="n"/>
      <c r="F763" s="54" t="n"/>
      <c r="G763" s="54" t="n"/>
      <c r="H763" s="54" t="n"/>
      <c r="I763" s="54" t="n"/>
      <c r="J763" s="54" t="n"/>
      <c r="K763" s="54" t="n"/>
      <c r="L763" s="54" t="n"/>
      <c r="M763" s="54" t="n"/>
    </row>
    <row r="764" ht="15.75" customHeight="1" s="51">
      <c r="A764" s="102" t="n"/>
      <c r="B764" s="102" t="n"/>
      <c r="C764" s="94" t="n"/>
      <c r="D764" s="54" t="n"/>
      <c r="E764" s="54" t="n"/>
      <c r="F764" s="54" t="n"/>
      <c r="G764" s="54" t="n"/>
      <c r="H764" s="54" t="n"/>
      <c r="I764" s="54" t="n"/>
      <c r="J764" s="54" t="n"/>
      <c r="K764" s="54" t="n"/>
      <c r="L764" s="54" t="n"/>
      <c r="M764" s="54" t="n"/>
    </row>
    <row r="765" ht="15.75" customHeight="1" s="51">
      <c r="A765" s="102" t="n"/>
      <c r="B765" s="102" t="n"/>
      <c r="C765" s="94" t="n"/>
      <c r="D765" s="54" t="n"/>
      <c r="E765" s="54" t="n"/>
      <c r="F765" s="54" t="n"/>
      <c r="G765" s="54" t="n"/>
      <c r="H765" s="54" t="n"/>
      <c r="I765" s="54" t="n"/>
      <c r="J765" s="54" t="n"/>
      <c r="K765" s="54" t="n"/>
      <c r="L765" s="54" t="n"/>
      <c r="M765" s="54" t="n"/>
    </row>
    <row r="766" ht="15.75" customHeight="1" s="51">
      <c r="A766" s="102" t="n"/>
      <c r="B766" s="102" t="n"/>
      <c r="C766" s="94" t="n"/>
      <c r="D766" s="54" t="n"/>
      <c r="E766" s="54" t="n"/>
      <c r="F766" s="54" t="n"/>
      <c r="G766" s="54" t="n"/>
      <c r="H766" s="54" t="n"/>
      <c r="I766" s="54" t="n"/>
      <c r="J766" s="54" t="n"/>
      <c r="K766" s="54" t="n"/>
      <c r="L766" s="54" t="n"/>
      <c r="M766" s="54" t="n"/>
    </row>
    <row r="767" ht="15.75" customHeight="1" s="51">
      <c r="A767" s="102" t="n"/>
      <c r="B767" s="102" t="n"/>
      <c r="C767" s="94" t="n"/>
      <c r="D767" s="54" t="n"/>
      <c r="E767" s="54" t="n"/>
      <c r="F767" s="54" t="n"/>
      <c r="G767" s="54" t="n"/>
      <c r="H767" s="54" t="n"/>
      <c r="I767" s="54" t="n"/>
      <c r="J767" s="54" t="n"/>
      <c r="K767" s="54" t="n"/>
      <c r="L767" s="54" t="n"/>
      <c r="M767" s="54" t="n"/>
    </row>
    <row r="768" ht="15.75" customHeight="1" s="51">
      <c r="A768" s="102" t="n"/>
      <c r="B768" s="102" t="n"/>
      <c r="C768" s="94" t="n"/>
      <c r="D768" s="54" t="n"/>
      <c r="E768" s="54" t="n"/>
      <c r="F768" s="54" t="n"/>
      <c r="G768" s="54" t="n"/>
      <c r="H768" s="54" t="n"/>
      <c r="I768" s="54" t="n"/>
      <c r="J768" s="54" t="n"/>
      <c r="K768" s="54" t="n"/>
      <c r="L768" s="54" t="n"/>
      <c r="M768" s="54" t="n"/>
    </row>
    <row r="769" ht="15.75" customHeight="1" s="51">
      <c r="A769" s="102" t="n"/>
      <c r="B769" s="102" t="n"/>
      <c r="C769" s="94" t="n"/>
      <c r="D769" s="54" t="n"/>
      <c r="E769" s="54" t="n"/>
      <c r="F769" s="54" t="n"/>
      <c r="G769" s="54" t="n"/>
      <c r="H769" s="54" t="n"/>
      <c r="I769" s="54" t="n"/>
      <c r="J769" s="54" t="n"/>
      <c r="K769" s="54" t="n"/>
      <c r="L769" s="54" t="n"/>
      <c r="M769" s="54" t="n"/>
    </row>
    <row r="770" ht="15.75" customHeight="1" s="51">
      <c r="A770" s="102" t="n"/>
      <c r="B770" s="102" t="n"/>
      <c r="C770" s="94" t="n"/>
      <c r="D770" s="54" t="n"/>
      <c r="E770" s="54" t="n"/>
      <c r="F770" s="54" t="n"/>
      <c r="G770" s="54" t="n"/>
      <c r="H770" s="54" t="n"/>
      <c r="I770" s="54" t="n"/>
      <c r="J770" s="54" t="n"/>
      <c r="K770" s="54" t="n"/>
      <c r="L770" s="54" t="n"/>
      <c r="M770" s="54" t="n"/>
    </row>
    <row r="771" ht="15.75" customHeight="1" s="51">
      <c r="A771" s="102" t="n"/>
      <c r="B771" s="102" t="n"/>
      <c r="C771" s="94" t="n"/>
      <c r="D771" s="54" t="n"/>
      <c r="E771" s="54" t="n"/>
      <c r="F771" s="54" t="n"/>
      <c r="G771" s="54" t="n"/>
      <c r="H771" s="54" t="n"/>
      <c r="I771" s="54" t="n"/>
      <c r="J771" s="54" t="n"/>
      <c r="K771" s="54" t="n"/>
      <c r="L771" s="54" t="n"/>
      <c r="M771" s="54" t="n"/>
    </row>
    <row r="772" ht="15.75" customHeight="1" s="51">
      <c r="A772" s="102" t="n"/>
      <c r="B772" s="102" t="n"/>
      <c r="C772" s="94" t="n"/>
      <c r="D772" s="54" t="n"/>
      <c r="E772" s="54" t="n"/>
      <c r="F772" s="54" t="n"/>
      <c r="G772" s="54" t="n"/>
      <c r="H772" s="54" t="n"/>
      <c r="I772" s="54" t="n"/>
      <c r="J772" s="54" t="n"/>
      <c r="K772" s="54" t="n"/>
      <c r="L772" s="54" t="n"/>
      <c r="M772" s="54" t="n"/>
    </row>
    <row r="773" ht="15.75" customHeight="1" s="51">
      <c r="A773" s="102" t="n"/>
      <c r="B773" s="102" t="n"/>
      <c r="C773" s="94" t="n"/>
      <c r="D773" s="54" t="n"/>
      <c r="E773" s="54" t="n"/>
      <c r="F773" s="54" t="n"/>
      <c r="G773" s="54" t="n"/>
      <c r="H773" s="54" t="n"/>
      <c r="I773" s="54" t="n"/>
      <c r="J773" s="54" t="n"/>
      <c r="K773" s="54" t="n"/>
      <c r="L773" s="54" t="n"/>
      <c r="M773" s="54" t="n"/>
    </row>
    <row r="774" ht="15.75" customHeight="1" s="51">
      <c r="A774" s="102" t="n"/>
      <c r="B774" s="102" t="n"/>
      <c r="C774" s="94" t="n"/>
      <c r="D774" s="54" t="n"/>
      <c r="E774" s="54" t="n"/>
      <c r="F774" s="54" t="n"/>
      <c r="G774" s="54" t="n"/>
      <c r="H774" s="54" t="n"/>
      <c r="I774" s="54" t="n"/>
      <c r="J774" s="54" t="n"/>
      <c r="K774" s="54" t="n"/>
      <c r="L774" s="54" t="n"/>
      <c r="M774" s="54" t="n"/>
    </row>
    <row r="775" ht="15.75" customHeight="1" s="51">
      <c r="A775" s="102" t="n"/>
      <c r="B775" s="102" t="n"/>
      <c r="C775" s="94" t="n"/>
      <c r="D775" s="54" t="n"/>
      <c r="E775" s="54" t="n"/>
      <c r="F775" s="54" t="n"/>
      <c r="G775" s="54" t="n"/>
      <c r="H775" s="54" t="n"/>
      <c r="I775" s="54" t="n"/>
      <c r="J775" s="54" t="n"/>
      <c r="K775" s="54" t="n"/>
      <c r="L775" s="54" t="n"/>
      <c r="M775" s="54" t="n"/>
    </row>
    <row r="776" ht="15.75" customHeight="1" s="51">
      <c r="A776" s="102" t="n"/>
      <c r="B776" s="102" t="n"/>
      <c r="C776" s="94" t="n"/>
      <c r="D776" s="54" t="n"/>
      <c r="E776" s="54" t="n"/>
      <c r="F776" s="54" t="n"/>
      <c r="G776" s="54" t="n"/>
      <c r="H776" s="54" t="n"/>
      <c r="I776" s="54" t="n"/>
      <c r="J776" s="54" t="n"/>
      <c r="K776" s="54" t="n"/>
      <c r="L776" s="54" t="n"/>
      <c r="M776" s="54" t="n"/>
    </row>
    <row r="777" ht="15.75" customHeight="1" s="51">
      <c r="A777" s="102" t="n"/>
      <c r="B777" s="102" t="n"/>
      <c r="C777" s="94" t="n"/>
      <c r="D777" s="54" t="n"/>
      <c r="E777" s="54" t="n"/>
      <c r="F777" s="54" t="n"/>
      <c r="G777" s="54" t="n"/>
      <c r="H777" s="54" t="n"/>
      <c r="I777" s="54" t="n"/>
      <c r="J777" s="54" t="n"/>
      <c r="K777" s="54" t="n"/>
      <c r="L777" s="54" t="n"/>
      <c r="M777" s="54" t="n"/>
    </row>
    <row r="778" ht="15.75" customHeight="1" s="51">
      <c r="A778" s="102" t="n"/>
      <c r="B778" s="102" t="n"/>
      <c r="C778" s="94" t="n"/>
      <c r="D778" s="54" t="n"/>
      <c r="E778" s="54" t="n"/>
      <c r="F778" s="54" t="n"/>
      <c r="G778" s="54" t="n"/>
      <c r="H778" s="54" t="n"/>
      <c r="I778" s="54" t="n"/>
      <c r="J778" s="54" t="n"/>
      <c r="K778" s="54" t="n"/>
      <c r="L778" s="54" t="n"/>
      <c r="M778" s="54" t="n"/>
    </row>
    <row r="779" ht="15.75" customHeight="1" s="51">
      <c r="A779" s="102" t="n"/>
      <c r="B779" s="102" t="n"/>
      <c r="C779" s="94" t="n"/>
      <c r="D779" s="54" t="n"/>
      <c r="E779" s="54" t="n"/>
      <c r="F779" s="54" t="n"/>
      <c r="G779" s="54" t="n"/>
      <c r="H779" s="54" t="n"/>
      <c r="I779" s="54" t="n"/>
      <c r="J779" s="54" t="n"/>
      <c r="K779" s="54" t="n"/>
      <c r="L779" s="54" t="n"/>
      <c r="M779" s="54" t="n"/>
    </row>
    <row r="780" ht="15.75" customHeight="1" s="51">
      <c r="A780" s="102" t="n"/>
      <c r="B780" s="102" t="n"/>
      <c r="C780" s="94" t="n"/>
      <c r="D780" s="54" t="n"/>
      <c r="E780" s="54" t="n"/>
      <c r="F780" s="54" t="n"/>
      <c r="G780" s="54" t="n"/>
      <c r="H780" s="54" t="n"/>
      <c r="I780" s="54" t="n"/>
      <c r="J780" s="54" t="n"/>
      <c r="K780" s="54" t="n"/>
      <c r="L780" s="54" t="n"/>
      <c r="M780" s="54" t="n"/>
    </row>
    <row r="781" ht="15.75" customHeight="1" s="51">
      <c r="A781" s="102" t="n"/>
      <c r="B781" s="102" t="n"/>
      <c r="C781" s="94" t="n"/>
      <c r="D781" s="54" t="n"/>
      <c r="E781" s="54" t="n"/>
      <c r="F781" s="54" t="n"/>
      <c r="G781" s="54" t="n"/>
      <c r="H781" s="54" t="n"/>
      <c r="I781" s="54" t="n"/>
      <c r="J781" s="54" t="n"/>
      <c r="K781" s="54" t="n"/>
      <c r="L781" s="54" t="n"/>
      <c r="M781" s="54" t="n"/>
    </row>
    <row r="782" ht="15.75" customHeight="1" s="51">
      <c r="A782" s="102" t="n"/>
      <c r="B782" s="102" t="n"/>
      <c r="C782" s="94" t="n"/>
      <c r="D782" s="54" t="n"/>
      <c r="E782" s="54" t="n"/>
      <c r="F782" s="54" t="n"/>
      <c r="G782" s="54" t="n"/>
      <c r="H782" s="54" t="n"/>
      <c r="I782" s="54" t="n"/>
      <c r="J782" s="54" t="n"/>
      <c r="K782" s="54" t="n"/>
      <c r="L782" s="54" t="n"/>
      <c r="M782" s="54" t="n"/>
    </row>
    <row r="783" ht="15.75" customHeight="1" s="51">
      <c r="A783" s="102" t="n"/>
      <c r="B783" s="102" t="n"/>
      <c r="C783" s="94" t="n"/>
      <c r="D783" s="54" t="n"/>
      <c r="E783" s="54" t="n"/>
      <c r="F783" s="54" t="n"/>
      <c r="G783" s="54" t="n"/>
      <c r="H783" s="54" t="n"/>
      <c r="I783" s="54" t="n"/>
      <c r="J783" s="54" t="n"/>
      <c r="K783" s="54" t="n"/>
      <c r="L783" s="54" t="n"/>
      <c r="M783" s="54" t="n"/>
    </row>
    <row r="784" ht="15.75" customHeight="1" s="51">
      <c r="A784" s="102" t="n"/>
      <c r="B784" s="102" t="n"/>
      <c r="C784" s="94" t="n"/>
      <c r="D784" s="54" t="n"/>
      <c r="E784" s="54" t="n"/>
      <c r="F784" s="54" t="n"/>
      <c r="G784" s="54" t="n"/>
      <c r="H784" s="54" t="n"/>
      <c r="I784" s="54" t="n"/>
      <c r="J784" s="54" t="n"/>
      <c r="K784" s="54" t="n"/>
      <c r="L784" s="54" t="n"/>
      <c r="M784" s="54" t="n"/>
    </row>
    <row r="785" ht="15.75" customHeight="1" s="51">
      <c r="A785" s="102" t="n"/>
      <c r="B785" s="102" t="n"/>
      <c r="C785" s="94" t="n"/>
      <c r="D785" s="54" t="n"/>
      <c r="E785" s="54" t="n"/>
      <c r="F785" s="54" t="n"/>
      <c r="G785" s="54" t="n"/>
      <c r="H785" s="54" t="n"/>
      <c r="I785" s="54" t="n"/>
      <c r="J785" s="54" t="n"/>
      <c r="K785" s="54" t="n"/>
      <c r="L785" s="54" t="n"/>
      <c r="M785" s="54" t="n"/>
    </row>
    <row r="786" ht="15.75" customHeight="1" s="51">
      <c r="A786" s="102" t="n"/>
      <c r="B786" s="102" t="n"/>
      <c r="C786" s="94" t="n"/>
      <c r="D786" s="54" t="n"/>
      <c r="E786" s="54" t="n"/>
      <c r="F786" s="54" t="n"/>
      <c r="G786" s="54" t="n"/>
      <c r="H786" s="54" t="n"/>
      <c r="I786" s="54" t="n"/>
      <c r="J786" s="54" t="n"/>
      <c r="K786" s="54" t="n"/>
      <c r="L786" s="54" t="n"/>
      <c r="M786" s="54" t="n"/>
    </row>
    <row r="787" ht="15.75" customHeight="1" s="51">
      <c r="A787" s="102" t="n"/>
      <c r="B787" s="102" t="n"/>
      <c r="C787" s="94" t="n"/>
      <c r="D787" s="54" t="n"/>
      <c r="E787" s="54" t="n"/>
      <c r="F787" s="54" t="n"/>
      <c r="G787" s="54" t="n"/>
      <c r="H787" s="54" t="n"/>
      <c r="I787" s="54" t="n"/>
      <c r="J787" s="54" t="n"/>
      <c r="K787" s="54" t="n"/>
      <c r="L787" s="54" t="n"/>
      <c r="M787" s="54" t="n"/>
    </row>
    <row r="788" ht="15.75" customHeight="1" s="51">
      <c r="A788" s="102" t="n"/>
      <c r="B788" s="102" t="n"/>
      <c r="C788" s="94" t="n"/>
      <c r="D788" s="54" t="n"/>
      <c r="E788" s="54" t="n"/>
      <c r="F788" s="54" t="n"/>
      <c r="G788" s="54" t="n"/>
      <c r="H788" s="54" t="n"/>
      <c r="I788" s="54" t="n"/>
      <c r="J788" s="54" t="n"/>
      <c r="K788" s="54" t="n"/>
      <c r="L788" s="54" t="n"/>
      <c r="M788" s="54" t="n"/>
    </row>
    <row r="789" ht="15.75" customHeight="1" s="51">
      <c r="A789" s="102" t="n"/>
      <c r="B789" s="102" t="n"/>
      <c r="C789" s="94" t="n"/>
      <c r="D789" s="54" t="n"/>
      <c r="E789" s="54" t="n"/>
      <c r="F789" s="54" t="n"/>
      <c r="G789" s="54" t="n"/>
      <c r="H789" s="54" t="n"/>
      <c r="I789" s="54" t="n"/>
      <c r="J789" s="54" t="n"/>
      <c r="K789" s="54" t="n"/>
      <c r="L789" s="54" t="n"/>
      <c r="M789" s="54" t="n"/>
    </row>
    <row r="790" ht="15.75" customHeight="1" s="51">
      <c r="A790" s="102" t="n"/>
      <c r="B790" s="102" t="n"/>
      <c r="C790" s="94" t="n"/>
      <c r="D790" s="54" t="n"/>
      <c r="E790" s="54" t="n"/>
      <c r="F790" s="54" t="n"/>
      <c r="G790" s="54" t="n"/>
      <c r="H790" s="54" t="n"/>
      <c r="I790" s="54" t="n"/>
      <c r="J790" s="54" t="n"/>
      <c r="K790" s="54" t="n"/>
      <c r="L790" s="54" t="n"/>
      <c r="M790" s="54" t="n"/>
    </row>
    <row r="791" ht="15.75" customHeight="1" s="51">
      <c r="A791" s="102" t="n"/>
      <c r="B791" s="102" t="n"/>
      <c r="C791" s="94" t="n"/>
      <c r="D791" s="54" t="n"/>
      <c r="E791" s="54" t="n"/>
      <c r="F791" s="54" t="n"/>
      <c r="G791" s="54" t="n"/>
      <c r="H791" s="54" t="n"/>
      <c r="I791" s="54" t="n"/>
      <c r="J791" s="54" t="n"/>
      <c r="K791" s="54" t="n"/>
      <c r="L791" s="54" t="n"/>
      <c r="M791" s="54" t="n"/>
    </row>
    <row r="792" ht="15.75" customHeight="1" s="51">
      <c r="A792" s="102" t="n"/>
      <c r="B792" s="102" t="n"/>
      <c r="C792" s="94" t="n"/>
      <c r="D792" s="54" t="n"/>
      <c r="E792" s="54" t="n"/>
      <c r="F792" s="54" t="n"/>
      <c r="G792" s="54" t="n"/>
      <c r="H792" s="54" t="n"/>
      <c r="I792" s="54" t="n"/>
      <c r="J792" s="54" t="n"/>
      <c r="K792" s="54" t="n"/>
      <c r="L792" s="54" t="n"/>
      <c r="M792" s="54" t="n"/>
    </row>
    <row r="793" ht="15.75" customHeight="1" s="51">
      <c r="A793" s="102" t="n"/>
      <c r="B793" s="102" t="n"/>
      <c r="C793" s="94" t="n"/>
      <c r="D793" s="54" t="n"/>
      <c r="E793" s="54" t="n"/>
      <c r="F793" s="54" t="n"/>
      <c r="G793" s="54" t="n"/>
      <c r="H793" s="54" t="n"/>
      <c r="I793" s="54" t="n"/>
      <c r="J793" s="54" t="n"/>
      <c r="K793" s="54" t="n"/>
      <c r="L793" s="54" t="n"/>
      <c r="M793" s="54" t="n"/>
    </row>
    <row r="794" ht="15.75" customHeight="1" s="51">
      <c r="A794" s="102" t="n"/>
      <c r="B794" s="102" t="n"/>
      <c r="C794" s="94" t="n"/>
      <c r="D794" s="54" t="n"/>
      <c r="E794" s="54" t="n"/>
      <c r="F794" s="54" t="n"/>
      <c r="G794" s="54" t="n"/>
      <c r="H794" s="54" t="n"/>
      <c r="I794" s="54" t="n"/>
      <c r="J794" s="54" t="n"/>
      <c r="K794" s="54" t="n"/>
      <c r="L794" s="54" t="n"/>
      <c r="M794" s="54" t="n"/>
    </row>
    <row r="795" ht="15.75" customHeight="1" s="51">
      <c r="A795" s="102" t="n"/>
      <c r="B795" s="102" t="n"/>
      <c r="C795" s="94" t="n"/>
      <c r="D795" s="54" t="n"/>
      <c r="E795" s="54" t="n"/>
      <c r="F795" s="54" t="n"/>
      <c r="G795" s="54" t="n"/>
      <c r="H795" s="54" t="n"/>
      <c r="I795" s="54" t="n"/>
      <c r="J795" s="54" t="n"/>
      <c r="K795" s="54" t="n"/>
      <c r="L795" s="54" t="n"/>
      <c r="M795" s="54" t="n"/>
    </row>
    <row r="796" ht="15.75" customHeight="1" s="51">
      <c r="A796" s="102" t="n"/>
      <c r="B796" s="102" t="n"/>
      <c r="C796" s="94" t="n"/>
      <c r="D796" s="54" t="n"/>
      <c r="E796" s="54" t="n"/>
      <c r="F796" s="54" t="n"/>
      <c r="G796" s="54" t="n"/>
      <c r="H796" s="54" t="n"/>
      <c r="I796" s="54" t="n"/>
      <c r="J796" s="54" t="n"/>
      <c r="K796" s="54" t="n"/>
      <c r="L796" s="54" t="n"/>
      <c r="M796" s="54" t="n"/>
    </row>
    <row r="797" ht="15.75" customHeight="1" s="51">
      <c r="A797" s="102" t="n"/>
      <c r="B797" s="102" t="n"/>
      <c r="C797" s="94" t="n"/>
      <c r="D797" s="54" t="n"/>
      <c r="E797" s="54" t="n"/>
      <c r="F797" s="54" t="n"/>
      <c r="G797" s="54" t="n"/>
      <c r="H797" s="54" t="n"/>
      <c r="I797" s="54" t="n"/>
      <c r="J797" s="54" t="n"/>
      <c r="K797" s="54" t="n"/>
      <c r="L797" s="54" t="n"/>
      <c r="M797" s="54" t="n"/>
    </row>
    <row r="798" ht="15.75" customHeight="1" s="51">
      <c r="A798" s="102" t="n"/>
      <c r="B798" s="102" t="n"/>
      <c r="C798" s="94" t="n"/>
      <c r="D798" s="54" t="n"/>
      <c r="E798" s="54" t="n"/>
      <c r="F798" s="54" t="n"/>
      <c r="G798" s="54" t="n"/>
      <c r="H798" s="54" t="n"/>
      <c r="I798" s="54" t="n"/>
      <c r="J798" s="54" t="n"/>
      <c r="K798" s="54" t="n"/>
      <c r="L798" s="54" t="n"/>
      <c r="M798" s="54" t="n"/>
    </row>
    <row r="799" ht="15.75" customHeight="1" s="51">
      <c r="A799" s="102" t="n"/>
      <c r="B799" s="102" t="n"/>
      <c r="C799" s="94" t="n"/>
      <c r="D799" s="54" t="n"/>
      <c r="E799" s="54" t="n"/>
      <c r="F799" s="54" t="n"/>
      <c r="G799" s="54" t="n"/>
      <c r="H799" s="54" t="n"/>
      <c r="I799" s="54" t="n"/>
      <c r="J799" s="54" t="n"/>
      <c r="K799" s="54" t="n"/>
      <c r="L799" s="54" t="n"/>
      <c r="M799" s="54" t="n"/>
    </row>
    <row r="800" ht="15.75" customHeight="1" s="51">
      <c r="A800" s="102" t="n"/>
      <c r="B800" s="102" t="n"/>
      <c r="C800" s="94" t="n"/>
      <c r="D800" s="54" t="n"/>
      <c r="E800" s="54" t="n"/>
      <c r="F800" s="54" t="n"/>
      <c r="G800" s="54" t="n"/>
      <c r="H800" s="54" t="n"/>
      <c r="I800" s="54" t="n"/>
      <c r="J800" s="54" t="n"/>
      <c r="K800" s="54" t="n"/>
      <c r="L800" s="54" t="n"/>
      <c r="M800" s="54" t="n"/>
    </row>
    <row r="801" ht="15.75" customHeight="1" s="51">
      <c r="A801" s="102" t="n"/>
      <c r="B801" s="102" t="n"/>
      <c r="C801" s="94" t="n"/>
      <c r="D801" s="54" t="n"/>
      <c r="E801" s="54" t="n"/>
      <c r="F801" s="54" t="n"/>
      <c r="G801" s="54" t="n"/>
      <c r="H801" s="54" t="n"/>
      <c r="I801" s="54" t="n"/>
      <c r="J801" s="54" t="n"/>
      <c r="K801" s="54" t="n"/>
      <c r="L801" s="54" t="n"/>
      <c r="M801" s="54" t="n"/>
    </row>
    <row r="802" ht="15.75" customHeight="1" s="51">
      <c r="A802" s="102" t="n"/>
      <c r="B802" s="102" t="n"/>
      <c r="C802" s="94" t="n"/>
      <c r="D802" s="54" t="n"/>
      <c r="E802" s="54" t="n"/>
      <c r="F802" s="54" t="n"/>
      <c r="G802" s="54" t="n"/>
      <c r="H802" s="54" t="n"/>
      <c r="I802" s="54" t="n"/>
      <c r="J802" s="54" t="n"/>
      <c r="K802" s="54" t="n"/>
      <c r="L802" s="54" t="n"/>
      <c r="M802" s="54" t="n"/>
    </row>
    <row r="803" ht="15.75" customHeight="1" s="51">
      <c r="A803" s="102" t="n"/>
      <c r="B803" s="102" t="n"/>
      <c r="C803" s="94" t="n"/>
      <c r="D803" s="54" t="n"/>
      <c r="E803" s="54" t="n"/>
      <c r="F803" s="54" t="n"/>
      <c r="G803" s="54" t="n"/>
      <c r="H803" s="54" t="n"/>
      <c r="I803" s="54" t="n"/>
      <c r="J803" s="54" t="n"/>
      <c r="K803" s="54" t="n"/>
      <c r="L803" s="54" t="n"/>
      <c r="M803" s="54" t="n"/>
    </row>
    <row r="804" ht="15.75" customHeight="1" s="51">
      <c r="A804" s="102" t="n"/>
      <c r="B804" s="102" t="n"/>
      <c r="C804" s="94" t="n"/>
      <c r="D804" s="54" t="n"/>
      <c r="E804" s="54" t="n"/>
      <c r="F804" s="54" t="n"/>
      <c r="G804" s="54" t="n"/>
      <c r="H804" s="54" t="n"/>
      <c r="I804" s="54" t="n"/>
      <c r="J804" s="54" t="n"/>
      <c r="K804" s="54" t="n"/>
      <c r="L804" s="54" t="n"/>
      <c r="M804" s="54" t="n"/>
    </row>
    <row r="805" ht="15.75" customHeight="1" s="51">
      <c r="A805" s="102" t="n"/>
      <c r="B805" s="102" t="n"/>
      <c r="C805" s="94" t="n"/>
      <c r="D805" s="54" t="n"/>
      <c r="E805" s="54" t="n"/>
      <c r="F805" s="54" t="n"/>
      <c r="G805" s="54" t="n"/>
      <c r="H805" s="54" t="n"/>
      <c r="I805" s="54" t="n"/>
      <c r="J805" s="54" t="n"/>
      <c r="K805" s="54" t="n"/>
      <c r="L805" s="54" t="n"/>
      <c r="M805" s="54" t="n"/>
    </row>
    <row r="806" ht="15.75" customHeight="1" s="51">
      <c r="A806" s="102" t="n"/>
      <c r="B806" s="102" t="n"/>
      <c r="C806" s="94" t="n"/>
      <c r="D806" s="54" t="n"/>
      <c r="E806" s="54" t="n"/>
      <c r="F806" s="54" t="n"/>
      <c r="G806" s="54" t="n"/>
      <c r="H806" s="54" t="n"/>
      <c r="I806" s="54" t="n"/>
      <c r="J806" s="54" t="n"/>
      <c r="K806" s="54" t="n"/>
      <c r="L806" s="54" t="n"/>
      <c r="M806" s="54" t="n"/>
    </row>
    <row r="807" ht="15.75" customHeight="1" s="51">
      <c r="A807" s="102" t="n"/>
      <c r="B807" s="102" t="n"/>
      <c r="C807" s="94" t="n"/>
      <c r="D807" s="54" t="n"/>
      <c r="E807" s="54" t="n"/>
      <c r="F807" s="54" t="n"/>
      <c r="G807" s="54" t="n"/>
      <c r="H807" s="54" t="n"/>
      <c r="I807" s="54" t="n"/>
      <c r="J807" s="54" t="n"/>
      <c r="K807" s="54" t="n"/>
      <c r="L807" s="54" t="n"/>
      <c r="M807" s="54" t="n"/>
    </row>
    <row r="808" ht="15.75" customHeight="1" s="51">
      <c r="A808" s="102" t="n"/>
      <c r="B808" s="102" t="n"/>
      <c r="C808" s="94" t="n"/>
      <c r="D808" s="54" t="n"/>
      <c r="E808" s="54" t="n"/>
      <c r="F808" s="54" t="n"/>
      <c r="G808" s="54" t="n"/>
      <c r="H808" s="54" t="n"/>
      <c r="I808" s="54" t="n"/>
      <c r="J808" s="54" t="n"/>
      <c r="K808" s="54" t="n"/>
      <c r="L808" s="54" t="n"/>
      <c r="M808" s="54" t="n"/>
    </row>
    <row r="809" ht="15.75" customHeight="1" s="51">
      <c r="A809" s="102" t="n"/>
      <c r="B809" s="102" t="n"/>
      <c r="C809" s="94" t="n"/>
      <c r="D809" s="54" t="n"/>
      <c r="E809" s="54" t="n"/>
      <c r="F809" s="54" t="n"/>
      <c r="G809" s="54" t="n"/>
      <c r="H809" s="54" t="n"/>
      <c r="I809" s="54" t="n"/>
      <c r="J809" s="54" t="n"/>
      <c r="K809" s="54" t="n"/>
      <c r="L809" s="54" t="n"/>
      <c r="M809" s="54" t="n"/>
    </row>
    <row r="810" ht="15.75" customHeight="1" s="51">
      <c r="A810" s="102" t="n"/>
      <c r="B810" s="102" t="n"/>
      <c r="C810" s="94" t="n"/>
      <c r="D810" s="54" t="n"/>
      <c r="E810" s="54" t="n"/>
      <c r="F810" s="54" t="n"/>
      <c r="G810" s="54" t="n"/>
      <c r="H810" s="54" t="n"/>
      <c r="I810" s="54" t="n"/>
      <c r="J810" s="54" t="n"/>
      <c r="K810" s="54" t="n"/>
      <c r="L810" s="54" t="n"/>
      <c r="M810" s="54" t="n"/>
    </row>
    <row r="811" ht="15.75" customHeight="1" s="51">
      <c r="A811" s="102" t="n"/>
      <c r="B811" s="102" t="n"/>
      <c r="C811" s="94" t="n"/>
      <c r="D811" s="54" t="n"/>
      <c r="E811" s="54" t="n"/>
      <c r="F811" s="54" t="n"/>
      <c r="G811" s="54" t="n"/>
      <c r="H811" s="54" t="n"/>
      <c r="I811" s="54" t="n"/>
      <c r="J811" s="54" t="n"/>
      <c r="K811" s="54" t="n"/>
      <c r="L811" s="54" t="n"/>
      <c r="M811" s="54" t="n"/>
    </row>
    <row r="812" ht="15.75" customHeight="1" s="51">
      <c r="A812" s="102" t="n"/>
      <c r="B812" s="102" t="n"/>
      <c r="C812" s="94" t="n"/>
      <c r="D812" s="54" t="n"/>
      <c r="E812" s="54" t="n"/>
      <c r="F812" s="54" t="n"/>
      <c r="G812" s="54" t="n"/>
      <c r="H812" s="54" t="n"/>
      <c r="I812" s="54" t="n"/>
      <c r="J812" s="54" t="n"/>
      <c r="K812" s="54" t="n"/>
      <c r="L812" s="54" t="n"/>
      <c r="M812" s="54" t="n"/>
    </row>
    <row r="813" ht="15.75" customHeight="1" s="51">
      <c r="A813" s="102" t="n"/>
      <c r="B813" s="102" t="n"/>
      <c r="C813" s="94" t="n"/>
      <c r="D813" s="54" t="n"/>
      <c r="E813" s="54" t="n"/>
      <c r="F813" s="54" t="n"/>
      <c r="G813" s="54" t="n"/>
      <c r="H813" s="54" t="n"/>
      <c r="I813" s="54" t="n"/>
      <c r="J813" s="54" t="n"/>
      <c r="K813" s="54" t="n"/>
      <c r="L813" s="54" t="n"/>
      <c r="M813" s="54" t="n"/>
    </row>
    <row r="814" ht="15.75" customHeight="1" s="51">
      <c r="A814" s="102" t="n"/>
      <c r="B814" s="102" t="n"/>
      <c r="C814" s="94" t="n"/>
      <c r="D814" s="54" t="n"/>
      <c r="E814" s="54" t="n"/>
      <c r="F814" s="54" t="n"/>
      <c r="G814" s="54" t="n"/>
      <c r="H814" s="54" t="n"/>
      <c r="I814" s="54" t="n"/>
      <c r="J814" s="54" t="n"/>
      <c r="K814" s="54" t="n"/>
      <c r="L814" s="54" t="n"/>
      <c r="M814" s="54" t="n"/>
    </row>
    <row r="815" ht="15.75" customHeight="1" s="51">
      <c r="A815" s="102" t="n"/>
      <c r="B815" s="102" t="n"/>
      <c r="C815" s="94" t="n"/>
      <c r="D815" s="54" t="n"/>
      <c r="E815" s="54" t="n"/>
      <c r="F815" s="54" t="n"/>
      <c r="G815" s="54" t="n"/>
      <c r="H815" s="54" t="n"/>
      <c r="I815" s="54" t="n"/>
      <c r="J815" s="54" t="n"/>
      <c r="K815" s="54" t="n"/>
      <c r="L815" s="54" t="n"/>
      <c r="M815" s="54" t="n"/>
    </row>
    <row r="816" ht="15.75" customHeight="1" s="51">
      <c r="A816" s="102" t="n"/>
      <c r="B816" s="102" t="n"/>
      <c r="C816" s="94" t="n"/>
      <c r="D816" s="54" t="n"/>
      <c r="E816" s="54" t="n"/>
      <c r="F816" s="54" t="n"/>
      <c r="G816" s="54" t="n"/>
      <c r="H816" s="54" t="n"/>
      <c r="I816" s="54" t="n"/>
      <c r="J816" s="54" t="n"/>
      <c r="K816" s="54" t="n"/>
      <c r="L816" s="54" t="n"/>
      <c r="M816" s="54" t="n"/>
    </row>
    <row r="817" ht="15.75" customHeight="1" s="51">
      <c r="A817" s="102" t="n"/>
      <c r="B817" s="102" t="n"/>
      <c r="C817" s="94" t="n"/>
      <c r="D817" s="54" t="n"/>
      <c r="E817" s="54" t="n"/>
      <c r="F817" s="54" t="n"/>
      <c r="G817" s="54" t="n"/>
      <c r="H817" s="54" t="n"/>
      <c r="I817" s="54" t="n"/>
      <c r="J817" s="54" t="n"/>
      <c r="K817" s="54" t="n"/>
      <c r="L817" s="54" t="n"/>
      <c r="M817" s="54" t="n"/>
    </row>
    <row r="818" ht="15.75" customHeight="1" s="51">
      <c r="A818" s="102" t="n"/>
      <c r="B818" s="102" t="n"/>
      <c r="C818" s="94" t="n"/>
      <c r="D818" s="54" t="n"/>
      <c r="E818" s="54" t="n"/>
      <c r="F818" s="54" t="n"/>
      <c r="G818" s="54" t="n"/>
      <c r="H818" s="54" t="n"/>
      <c r="I818" s="54" t="n"/>
      <c r="J818" s="54" t="n"/>
      <c r="K818" s="54" t="n"/>
      <c r="L818" s="54" t="n"/>
      <c r="M818" s="54" t="n"/>
    </row>
    <row r="819" ht="15.75" customHeight="1" s="51">
      <c r="A819" s="102" t="n"/>
      <c r="B819" s="102" t="n"/>
      <c r="C819" s="94" t="n"/>
      <c r="D819" s="54" t="n"/>
      <c r="E819" s="54" t="n"/>
      <c r="F819" s="54" t="n"/>
      <c r="G819" s="54" t="n"/>
      <c r="H819" s="54" t="n"/>
      <c r="I819" s="54" t="n"/>
      <c r="J819" s="54" t="n"/>
      <c r="K819" s="54" t="n"/>
      <c r="L819" s="54" t="n"/>
      <c r="M819" s="54" t="n"/>
    </row>
    <row r="820" ht="15.75" customHeight="1" s="51">
      <c r="A820" s="102" t="n"/>
      <c r="B820" s="102" t="n"/>
      <c r="C820" s="94" t="n"/>
      <c r="D820" s="54" t="n"/>
      <c r="E820" s="54" t="n"/>
      <c r="F820" s="54" t="n"/>
      <c r="G820" s="54" t="n"/>
      <c r="H820" s="54" t="n"/>
      <c r="I820" s="54" t="n"/>
      <c r="J820" s="54" t="n"/>
      <c r="K820" s="54" t="n"/>
      <c r="L820" s="54" t="n"/>
      <c r="M820" s="54" t="n"/>
    </row>
    <row r="821" ht="15.75" customHeight="1" s="51">
      <c r="A821" s="102" t="n"/>
      <c r="B821" s="102" t="n"/>
      <c r="C821" s="94" t="n"/>
      <c r="D821" s="54" t="n"/>
      <c r="E821" s="54" t="n"/>
      <c r="F821" s="54" t="n"/>
      <c r="G821" s="54" t="n"/>
      <c r="H821" s="54" t="n"/>
      <c r="I821" s="54" t="n"/>
      <c r="J821" s="54" t="n"/>
      <c r="K821" s="54" t="n"/>
      <c r="L821" s="54" t="n"/>
      <c r="M821" s="54" t="n"/>
    </row>
    <row r="822" ht="15.75" customHeight="1" s="51">
      <c r="A822" s="102" t="n"/>
      <c r="B822" s="102" t="n"/>
      <c r="C822" s="94" t="n"/>
      <c r="D822" s="54" t="n"/>
      <c r="E822" s="54" t="n"/>
      <c r="F822" s="54" t="n"/>
      <c r="G822" s="54" t="n"/>
      <c r="H822" s="54" t="n"/>
      <c r="I822" s="54" t="n"/>
      <c r="J822" s="54" t="n"/>
      <c r="K822" s="54" t="n"/>
      <c r="L822" s="54" t="n"/>
      <c r="M822" s="54" t="n"/>
    </row>
    <row r="823" ht="15.75" customHeight="1" s="51">
      <c r="A823" s="102" t="n"/>
      <c r="B823" s="102" t="n"/>
      <c r="C823" s="94" t="n"/>
      <c r="D823" s="54" t="n"/>
      <c r="E823" s="54" t="n"/>
      <c r="F823" s="54" t="n"/>
      <c r="G823" s="54" t="n"/>
      <c r="H823" s="54" t="n"/>
      <c r="I823" s="54" t="n"/>
      <c r="J823" s="54" t="n"/>
      <c r="K823" s="54" t="n"/>
      <c r="L823" s="54" t="n"/>
      <c r="M823" s="54" t="n"/>
    </row>
    <row r="824" ht="15.75" customHeight="1" s="51">
      <c r="A824" s="102" t="n"/>
      <c r="B824" s="102" t="n"/>
      <c r="C824" s="94" t="n"/>
      <c r="D824" s="54" t="n"/>
      <c r="E824" s="54" t="n"/>
      <c r="F824" s="54" t="n"/>
      <c r="G824" s="54" t="n"/>
      <c r="H824" s="54" t="n"/>
      <c r="I824" s="54" t="n"/>
      <c r="J824" s="54" t="n"/>
      <c r="K824" s="54" t="n"/>
      <c r="L824" s="54" t="n"/>
      <c r="M824" s="54" t="n"/>
    </row>
    <row r="825" ht="15.75" customHeight="1" s="51">
      <c r="A825" s="102" t="n"/>
      <c r="B825" s="102" t="n"/>
      <c r="C825" s="94" t="n"/>
      <c r="D825" s="54" t="n"/>
      <c r="E825" s="54" t="n"/>
      <c r="F825" s="54" t="n"/>
      <c r="G825" s="54" t="n"/>
      <c r="H825" s="54" t="n"/>
      <c r="I825" s="54" t="n"/>
      <c r="J825" s="54" t="n"/>
      <c r="K825" s="54" t="n"/>
      <c r="L825" s="54" t="n"/>
      <c r="M825" s="54" t="n"/>
    </row>
    <row r="826" ht="15.75" customHeight="1" s="51">
      <c r="A826" s="102" t="n"/>
      <c r="B826" s="102" t="n"/>
      <c r="C826" s="94" t="n"/>
      <c r="D826" s="54" t="n"/>
      <c r="E826" s="54" t="n"/>
      <c r="F826" s="54" t="n"/>
      <c r="G826" s="54" t="n"/>
      <c r="H826" s="54" t="n"/>
      <c r="I826" s="54" t="n"/>
      <c r="J826" s="54" t="n"/>
      <c r="K826" s="54" t="n"/>
      <c r="L826" s="54" t="n"/>
      <c r="M826" s="54" t="n"/>
    </row>
    <row r="827" ht="15.75" customHeight="1" s="51">
      <c r="A827" s="102" t="n"/>
      <c r="B827" s="102" t="n"/>
      <c r="C827" s="94" t="n"/>
      <c r="D827" s="54" t="n"/>
      <c r="E827" s="54" t="n"/>
      <c r="F827" s="54" t="n"/>
      <c r="G827" s="54" t="n"/>
      <c r="H827" s="54" t="n"/>
      <c r="I827" s="54" t="n"/>
      <c r="J827" s="54" t="n"/>
      <c r="K827" s="54" t="n"/>
      <c r="L827" s="54" t="n"/>
      <c r="M827" s="54" t="n"/>
    </row>
    <row r="828" ht="15.75" customHeight="1" s="51">
      <c r="A828" s="102" t="n"/>
      <c r="B828" s="102" t="n"/>
      <c r="C828" s="94" t="n"/>
      <c r="D828" s="54" t="n"/>
      <c r="E828" s="54" t="n"/>
      <c r="F828" s="54" t="n"/>
      <c r="G828" s="54" t="n"/>
      <c r="H828" s="54" t="n"/>
      <c r="I828" s="54" t="n"/>
      <c r="J828" s="54" t="n"/>
      <c r="K828" s="54" t="n"/>
      <c r="L828" s="54" t="n"/>
      <c r="M828" s="54" t="n"/>
    </row>
    <row r="829" ht="15.75" customHeight="1" s="51">
      <c r="A829" s="102" t="n"/>
      <c r="B829" s="102" t="n"/>
      <c r="C829" s="94" t="n"/>
      <c r="D829" s="54" t="n"/>
      <c r="E829" s="54" t="n"/>
      <c r="F829" s="54" t="n"/>
      <c r="G829" s="54" t="n"/>
      <c r="H829" s="54" t="n"/>
      <c r="I829" s="54" t="n"/>
      <c r="J829" s="54" t="n"/>
      <c r="K829" s="54" t="n"/>
      <c r="L829" s="54" t="n"/>
      <c r="M829" s="54" t="n"/>
    </row>
    <row r="830" ht="15.75" customHeight="1" s="51">
      <c r="A830" s="102" t="n"/>
      <c r="B830" s="102" t="n"/>
      <c r="C830" s="94" t="n"/>
      <c r="D830" s="54" t="n"/>
      <c r="E830" s="54" t="n"/>
      <c r="F830" s="54" t="n"/>
      <c r="G830" s="54" t="n"/>
      <c r="H830" s="54" t="n"/>
      <c r="I830" s="54" t="n"/>
      <c r="J830" s="54" t="n"/>
      <c r="K830" s="54" t="n"/>
      <c r="L830" s="54" t="n"/>
      <c r="M830" s="54" t="n"/>
    </row>
    <row r="831" ht="15.75" customHeight="1" s="51">
      <c r="A831" s="102" t="n"/>
      <c r="B831" s="102" t="n"/>
      <c r="C831" s="94" t="n"/>
      <c r="D831" s="54" t="n"/>
      <c r="E831" s="54" t="n"/>
      <c r="F831" s="54" t="n"/>
      <c r="G831" s="54" t="n"/>
      <c r="H831" s="54" t="n"/>
      <c r="I831" s="54" t="n"/>
      <c r="J831" s="54" t="n"/>
      <c r="K831" s="54" t="n"/>
      <c r="L831" s="54" t="n"/>
      <c r="M831" s="54" t="n"/>
    </row>
    <row r="832" ht="15.75" customHeight="1" s="51">
      <c r="A832" s="102" t="n"/>
      <c r="B832" s="102" t="n"/>
      <c r="C832" s="94" t="n"/>
      <c r="D832" s="54" t="n"/>
      <c r="E832" s="54" t="n"/>
      <c r="F832" s="54" t="n"/>
      <c r="G832" s="54" t="n"/>
      <c r="H832" s="54" t="n"/>
      <c r="I832" s="54" t="n"/>
      <c r="J832" s="54" t="n"/>
      <c r="K832" s="54" t="n"/>
      <c r="L832" s="54" t="n"/>
      <c r="M832" s="54" t="n"/>
    </row>
    <row r="833" ht="15.75" customHeight="1" s="51">
      <c r="A833" s="102" t="n"/>
      <c r="B833" s="102" t="n"/>
      <c r="C833" s="94" t="n"/>
      <c r="D833" s="54" t="n"/>
      <c r="E833" s="54" t="n"/>
      <c r="F833" s="54" t="n"/>
      <c r="G833" s="54" t="n"/>
      <c r="H833" s="54" t="n"/>
      <c r="I833" s="54" t="n"/>
      <c r="J833" s="54" t="n"/>
      <c r="K833" s="54" t="n"/>
      <c r="L833" s="54" t="n"/>
      <c r="M833" s="54" t="n"/>
    </row>
    <row r="834" ht="15.75" customHeight="1" s="51">
      <c r="A834" s="102" t="n"/>
      <c r="B834" s="102" t="n"/>
      <c r="C834" s="94" t="n"/>
      <c r="D834" s="54" t="n"/>
      <c r="E834" s="54" t="n"/>
      <c r="F834" s="54" t="n"/>
      <c r="G834" s="54" t="n"/>
      <c r="H834" s="54" t="n"/>
      <c r="I834" s="54" t="n"/>
      <c r="J834" s="54" t="n"/>
      <c r="K834" s="54" t="n"/>
      <c r="L834" s="54" t="n"/>
      <c r="M834" s="54" t="n"/>
    </row>
    <row r="835" ht="15.75" customHeight="1" s="51">
      <c r="A835" s="102" t="n"/>
      <c r="B835" s="102" t="n"/>
      <c r="C835" s="94" t="n"/>
      <c r="D835" s="54" t="n"/>
      <c r="E835" s="54" t="n"/>
      <c r="F835" s="54" t="n"/>
      <c r="G835" s="54" t="n"/>
      <c r="H835" s="54" t="n"/>
      <c r="I835" s="54" t="n"/>
      <c r="J835" s="54" t="n"/>
      <c r="K835" s="54" t="n"/>
      <c r="L835" s="54" t="n"/>
      <c r="M835" s="54" t="n"/>
    </row>
    <row r="836" ht="15.75" customHeight="1" s="51">
      <c r="A836" s="102" t="n"/>
      <c r="B836" s="102" t="n"/>
      <c r="C836" s="94" t="n"/>
      <c r="D836" s="54" t="n"/>
      <c r="E836" s="54" t="n"/>
      <c r="F836" s="54" t="n"/>
      <c r="G836" s="54" t="n"/>
      <c r="H836" s="54" t="n"/>
      <c r="I836" s="54" t="n"/>
      <c r="J836" s="54" t="n"/>
      <c r="K836" s="54" t="n"/>
      <c r="L836" s="54" t="n"/>
      <c r="M836" s="54" t="n"/>
    </row>
    <row r="837" ht="15.75" customHeight="1" s="51">
      <c r="A837" s="102" t="n"/>
      <c r="B837" s="102" t="n"/>
      <c r="C837" s="94" t="n"/>
      <c r="D837" s="54" t="n"/>
      <c r="E837" s="54" t="n"/>
      <c r="F837" s="54" t="n"/>
      <c r="G837" s="54" t="n"/>
      <c r="H837" s="54" t="n"/>
      <c r="I837" s="54" t="n"/>
      <c r="J837" s="54" t="n"/>
      <c r="K837" s="54" t="n"/>
      <c r="L837" s="54" t="n"/>
      <c r="M837" s="54" t="n"/>
    </row>
    <row r="838" ht="15.75" customHeight="1" s="51">
      <c r="A838" s="102" t="n"/>
      <c r="B838" s="102" t="n"/>
      <c r="C838" s="94" t="n"/>
      <c r="D838" s="54" t="n"/>
      <c r="E838" s="54" t="n"/>
      <c r="F838" s="54" t="n"/>
      <c r="G838" s="54" t="n"/>
      <c r="H838" s="54" t="n"/>
      <c r="I838" s="54" t="n"/>
      <c r="J838" s="54" t="n"/>
      <c r="K838" s="54" t="n"/>
      <c r="L838" s="54" t="n"/>
      <c r="M838" s="54" t="n"/>
    </row>
    <row r="839" ht="15.75" customHeight="1" s="51">
      <c r="A839" s="102" t="n"/>
      <c r="B839" s="102" t="n"/>
      <c r="C839" s="94" t="n"/>
      <c r="D839" s="54" t="n"/>
      <c r="E839" s="54" t="n"/>
      <c r="F839" s="54" t="n"/>
      <c r="G839" s="54" t="n"/>
      <c r="H839" s="54" t="n"/>
      <c r="I839" s="54" t="n"/>
      <c r="J839" s="54" t="n"/>
      <c r="K839" s="54" t="n"/>
      <c r="L839" s="54" t="n"/>
      <c r="M839" s="54" t="n"/>
    </row>
    <row r="840" ht="15.75" customHeight="1" s="51">
      <c r="A840" s="102" t="n"/>
      <c r="B840" s="102" t="n"/>
      <c r="C840" s="94" t="n"/>
      <c r="D840" s="54" t="n"/>
      <c r="E840" s="54" t="n"/>
      <c r="F840" s="54" t="n"/>
      <c r="G840" s="54" t="n"/>
      <c r="H840" s="54" t="n"/>
      <c r="I840" s="54" t="n"/>
      <c r="J840" s="54" t="n"/>
      <c r="K840" s="54" t="n"/>
      <c r="L840" s="54" t="n"/>
      <c r="M840" s="54" t="n"/>
    </row>
    <row r="841" ht="15.75" customHeight="1" s="51">
      <c r="A841" s="102" t="n"/>
      <c r="B841" s="102" t="n"/>
      <c r="C841" s="94" t="n"/>
      <c r="D841" s="54" t="n"/>
      <c r="E841" s="54" t="n"/>
      <c r="F841" s="54" t="n"/>
      <c r="G841" s="54" t="n"/>
      <c r="H841" s="54" t="n"/>
      <c r="I841" s="54" t="n"/>
      <c r="J841" s="54" t="n"/>
      <c r="K841" s="54" t="n"/>
      <c r="L841" s="54" t="n"/>
      <c r="M841" s="54" t="n"/>
    </row>
    <row r="842" ht="15.75" customHeight="1" s="51">
      <c r="A842" s="102" t="n"/>
      <c r="B842" s="102" t="n"/>
      <c r="C842" s="94" t="n"/>
      <c r="D842" s="54" t="n"/>
      <c r="E842" s="54" t="n"/>
      <c r="F842" s="54" t="n"/>
      <c r="G842" s="54" t="n"/>
      <c r="H842" s="54" t="n"/>
      <c r="I842" s="54" t="n"/>
      <c r="J842" s="54" t="n"/>
      <c r="K842" s="54" t="n"/>
      <c r="L842" s="54" t="n"/>
      <c r="M842" s="54" t="n"/>
    </row>
    <row r="843" ht="15.75" customHeight="1" s="51">
      <c r="A843" s="102" t="n"/>
      <c r="B843" s="102" t="n"/>
      <c r="C843" s="94" t="n"/>
      <c r="D843" s="54" t="n"/>
      <c r="E843" s="54" t="n"/>
      <c r="F843" s="54" t="n"/>
      <c r="G843" s="54" t="n"/>
      <c r="H843" s="54" t="n"/>
      <c r="I843" s="54" t="n"/>
      <c r="J843" s="54" t="n"/>
      <c r="K843" s="54" t="n"/>
      <c r="L843" s="54" t="n"/>
      <c r="M843" s="54" t="n"/>
    </row>
    <row r="844" ht="15.75" customHeight="1" s="51">
      <c r="A844" s="102" t="n"/>
      <c r="B844" s="102" t="n"/>
      <c r="C844" s="94" t="n"/>
      <c r="D844" s="54" t="n"/>
      <c r="E844" s="54" t="n"/>
      <c r="F844" s="54" t="n"/>
      <c r="G844" s="54" t="n"/>
      <c r="H844" s="54" t="n"/>
      <c r="I844" s="54" t="n"/>
      <c r="J844" s="54" t="n"/>
      <c r="K844" s="54" t="n"/>
      <c r="L844" s="54" t="n"/>
      <c r="M844" s="54" t="n"/>
    </row>
    <row r="845" ht="15.75" customHeight="1" s="51">
      <c r="A845" s="102" t="n"/>
      <c r="B845" s="102" t="n"/>
      <c r="C845" s="94" t="n"/>
      <c r="D845" s="54" t="n"/>
      <c r="E845" s="54" t="n"/>
      <c r="F845" s="54" t="n"/>
      <c r="G845" s="54" t="n"/>
      <c r="H845" s="54" t="n"/>
      <c r="I845" s="54" t="n"/>
      <c r="J845" s="54" t="n"/>
      <c r="K845" s="54" t="n"/>
      <c r="L845" s="54" t="n"/>
      <c r="M845" s="54" t="n"/>
    </row>
    <row r="846" ht="15.75" customHeight="1" s="51">
      <c r="A846" s="102" t="n"/>
      <c r="B846" s="102" t="n"/>
      <c r="C846" s="94" t="n"/>
      <c r="D846" s="54" t="n"/>
      <c r="E846" s="54" t="n"/>
      <c r="F846" s="54" t="n"/>
      <c r="G846" s="54" t="n"/>
      <c r="H846" s="54" t="n"/>
      <c r="I846" s="54" t="n"/>
      <c r="J846" s="54" t="n"/>
      <c r="K846" s="54" t="n"/>
      <c r="L846" s="54" t="n"/>
      <c r="M846" s="54" t="n"/>
    </row>
    <row r="847" ht="15.75" customHeight="1" s="51">
      <c r="A847" s="102" t="n"/>
      <c r="B847" s="102" t="n"/>
      <c r="C847" s="94" t="n"/>
      <c r="D847" s="54" t="n"/>
      <c r="E847" s="54" t="n"/>
      <c r="F847" s="54" t="n"/>
      <c r="G847" s="54" t="n"/>
      <c r="H847" s="54" t="n"/>
      <c r="I847" s="54" t="n"/>
      <c r="J847" s="54" t="n"/>
      <c r="K847" s="54" t="n"/>
      <c r="L847" s="54" t="n"/>
      <c r="M847" s="54" t="n"/>
    </row>
    <row r="848" ht="15.75" customHeight="1" s="51">
      <c r="A848" s="102" t="n"/>
      <c r="B848" s="102" t="n"/>
      <c r="C848" s="94" t="n"/>
      <c r="D848" s="54" t="n"/>
      <c r="E848" s="54" t="n"/>
      <c r="F848" s="54" t="n"/>
      <c r="G848" s="54" t="n"/>
      <c r="H848" s="54" t="n"/>
      <c r="I848" s="54" t="n"/>
      <c r="J848" s="54" t="n"/>
      <c r="K848" s="54" t="n"/>
      <c r="L848" s="54" t="n"/>
      <c r="M848" s="54" t="n"/>
    </row>
    <row r="849" ht="15.75" customHeight="1" s="51">
      <c r="A849" s="102" t="n"/>
      <c r="B849" s="102" t="n"/>
      <c r="C849" s="94" t="n"/>
      <c r="D849" s="54" t="n"/>
      <c r="E849" s="54" t="n"/>
      <c r="F849" s="54" t="n"/>
      <c r="G849" s="54" t="n"/>
      <c r="H849" s="54" t="n"/>
      <c r="I849" s="54" t="n"/>
      <c r="J849" s="54" t="n"/>
      <c r="K849" s="54" t="n"/>
      <c r="L849" s="54" t="n"/>
      <c r="M849" s="54" t="n"/>
    </row>
    <row r="850" ht="15.75" customHeight="1" s="51">
      <c r="A850" s="102" t="n"/>
      <c r="B850" s="102" t="n"/>
      <c r="C850" s="94" t="n"/>
      <c r="D850" s="54" t="n"/>
      <c r="E850" s="54" t="n"/>
      <c r="F850" s="54" t="n"/>
      <c r="G850" s="54" t="n"/>
      <c r="H850" s="54" t="n"/>
      <c r="I850" s="54" t="n"/>
      <c r="J850" s="54" t="n"/>
      <c r="K850" s="54" t="n"/>
      <c r="L850" s="54" t="n"/>
      <c r="M850" s="54" t="n"/>
    </row>
    <row r="851" ht="15.75" customHeight="1" s="51">
      <c r="A851" s="102" t="n"/>
      <c r="B851" s="102" t="n"/>
      <c r="C851" s="94" t="n"/>
      <c r="D851" s="54" t="n"/>
      <c r="E851" s="54" t="n"/>
      <c r="F851" s="54" t="n"/>
      <c r="G851" s="54" t="n"/>
      <c r="H851" s="54" t="n"/>
      <c r="I851" s="54" t="n"/>
      <c r="J851" s="54" t="n"/>
      <c r="K851" s="54" t="n"/>
      <c r="L851" s="54" t="n"/>
      <c r="M851" s="54" t="n"/>
    </row>
    <row r="852" ht="15.75" customHeight="1" s="51">
      <c r="A852" s="102" t="n"/>
      <c r="B852" s="102" t="n"/>
      <c r="C852" s="94" t="n"/>
      <c r="D852" s="54" t="n"/>
      <c r="E852" s="54" t="n"/>
      <c r="F852" s="54" t="n"/>
      <c r="G852" s="54" t="n"/>
      <c r="H852" s="54" t="n"/>
      <c r="I852" s="54" t="n"/>
      <c r="J852" s="54" t="n"/>
      <c r="K852" s="54" t="n"/>
      <c r="L852" s="54" t="n"/>
      <c r="M852" s="54" t="n"/>
    </row>
    <row r="853" ht="15.75" customHeight="1" s="51">
      <c r="A853" s="102" t="n"/>
      <c r="B853" s="102" t="n"/>
      <c r="C853" s="94" t="n"/>
      <c r="D853" s="54" t="n"/>
      <c r="E853" s="54" t="n"/>
      <c r="F853" s="54" t="n"/>
      <c r="G853" s="54" t="n"/>
      <c r="H853" s="54" t="n"/>
      <c r="I853" s="54" t="n"/>
      <c r="J853" s="54" t="n"/>
      <c r="K853" s="54" t="n"/>
      <c r="L853" s="54" t="n"/>
      <c r="M853" s="54" t="n"/>
    </row>
    <row r="854" ht="15.75" customHeight="1" s="51">
      <c r="A854" s="102" t="n"/>
      <c r="B854" s="102" t="n"/>
      <c r="C854" s="94" t="n"/>
      <c r="D854" s="54" t="n"/>
      <c r="E854" s="54" t="n"/>
      <c r="F854" s="54" t="n"/>
      <c r="G854" s="54" t="n"/>
      <c r="H854" s="54" t="n"/>
      <c r="I854" s="54" t="n"/>
      <c r="J854" s="54" t="n"/>
      <c r="K854" s="54" t="n"/>
      <c r="L854" s="54" t="n"/>
      <c r="M854" s="54" t="n"/>
    </row>
    <row r="855" ht="15.75" customHeight="1" s="51">
      <c r="A855" s="102" t="n"/>
      <c r="B855" s="102" t="n"/>
      <c r="C855" s="94" t="n"/>
      <c r="D855" s="54" t="n"/>
      <c r="E855" s="54" t="n"/>
      <c r="F855" s="54" t="n"/>
      <c r="G855" s="54" t="n"/>
      <c r="H855" s="54" t="n"/>
      <c r="I855" s="54" t="n"/>
      <c r="J855" s="54" t="n"/>
      <c r="K855" s="54" t="n"/>
      <c r="L855" s="54" t="n"/>
      <c r="M855" s="54" t="n"/>
    </row>
    <row r="856" ht="15.75" customHeight="1" s="51">
      <c r="A856" s="102" t="n"/>
      <c r="B856" s="102" t="n"/>
      <c r="C856" s="94" t="n"/>
      <c r="D856" s="54" t="n"/>
      <c r="E856" s="54" t="n"/>
      <c r="F856" s="54" t="n"/>
      <c r="G856" s="54" t="n"/>
      <c r="H856" s="54" t="n"/>
      <c r="I856" s="54" t="n"/>
      <c r="J856" s="54" t="n"/>
      <c r="K856" s="54" t="n"/>
      <c r="L856" s="54" t="n"/>
      <c r="M856" s="54" t="n"/>
    </row>
    <row r="857" ht="15.75" customHeight="1" s="51">
      <c r="A857" s="102" t="n"/>
      <c r="B857" s="102" t="n"/>
      <c r="C857" s="94" t="n"/>
      <c r="D857" s="54" t="n"/>
      <c r="E857" s="54" t="n"/>
      <c r="F857" s="54" t="n"/>
      <c r="G857" s="54" t="n"/>
      <c r="H857" s="54" t="n"/>
      <c r="I857" s="54" t="n"/>
      <c r="J857" s="54" t="n"/>
      <c r="K857" s="54" t="n"/>
      <c r="L857" s="54" t="n"/>
      <c r="M857" s="54" t="n"/>
    </row>
    <row r="858" ht="15.75" customHeight="1" s="51">
      <c r="A858" s="102" t="n"/>
      <c r="B858" s="102" t="n"/>
      <c r="C858" s="94" t="n"/>
      <c r="D858" s="54" t="n"/>
      <c r="E858" s="54" t="n"/>
      <c r="F858" s="54" t="n"/>
      <c r="G858" s="54" t="n"/>
      <c r="H858" s="54" t="n"/>
      <c r="I858" s="54" t="n"/>
      <c r="J858" s="54" t="n"/>
      <c r="K858" s="54" t="n"/>
      <c r="L858" s="54" t="n"/>
      <c r="M858" s="54" t="n"/>
    </row>
    <row r="859" ht="15.75" customHeight="1" s="51">
      <c r="A859" s="102" t="n"/>
      <c r="B859" s="102" t="n"/>
      <c r="C859" s="94" t="n"/>
      <c r="D859" s="54" t="n"/>
      <c r="E859" s="54" t="n"/>
      <c r="F859" s="54" t="n"/>
      <c r="G859" s="54" t="n"/>
      <c r="H859" s="54" t="n"/>
      <c r="I859" s="54" t="n"/>
      <c r="J859" s="54" t="n"/>
      <c r="K859" s="54" t="n"/>
      <c r="L859" s="54" t="n"/>
      <c r="M859" s="54" t="n"/>
    </row>
    <row r="860" ht="15.75" customHeight="1" s="51">
      <c r="A860" s="102" t="n"/>
      <c r="B860" s="102" t="n"/>
      <c r="C860" s="94" t="n"/>
      <c r="D860" s="54" t="n"/>
      <c r="E860" s="54" t="n"/>
      <c r="F860" s="54" t="n"/>
      <c r="G860" s="54" t="n"/>
      <c r="H860" s="54" t="n"/>
      <c r="I860" s="54" t="n"/>
      <c r="J860" s="54" t="n"/>
      <c r="K860" s="54" t="n"/>
      <c r="L860" s="54" t="n"/>
      <c r="M860" s="54" t="n"/>
    </row>
    <row r="861" ht="15.75" customHeight="1" s="51">
      <c r="A861" s="102" t="n"/>
      <c r="B861" s="102" t="n"/>
      <c r="C861" s="94" t="n"/>
      <c r="D861" s="54" t="n"/>
      <c r="E861" s="54" t="n"/>
      <c r="F861" s="54" t="n"/>
      <c r="G861" s="54" t="n"/>
      <c r="H861" s="54" t="n"/>
      <c r="I861" s="54" t="n"/>
      <c r="J861" s="54" t="n"/>
      <c r="K861" s="54" t="n"/>
      <c r="L861" s="54" t="n"/>
      <c r="M861" s="54" t="n"/>
    </row>
    <row r="862" ht="15.75" customHeight="1" s="51">
      <c r="A862" s="102" t="n"/>
      <c r="B862" s="102" t="n"/>
      <c r="C862" s="94" t="n"/>
      <c r="D862" s="54" t="n"/>
      <c r="E862" s="54" t="n"/>
      <c r="F862" s="54" t="n"/>
      <c r="G862" s="54" t="n"/>
      <c r="H862" s="54" t="n"/>
      <c r="I862" s="54" t="n"/>
      <c r="J862" s="54" t="n"/>
      <c r="K862" s="54" t="n"/>
      <c r="L862" s="54" t="n"/>
      <c r="M862" s="54" t="n"/>
    </row>
    <row r="863" ht="15.75" customHeight="1" s="51">
      <c r="A863" s="102" t="n"/>
      <c r="B863" s="102" t="n"/>
      <c r="C863" s="94" t="n"/>
      <c r="D863" s="54" t="n"/>
      <c r="E863" s="54" t="n"/>
      <c r="F863" s="54" t="n"/>
      <c r="G863" s="54" t="n"/>
      <c r="H863" s="54" t="n"/>
      <c r="I863" s="54" t="n"/>
      <c r="J863" s="54" t="n"/>
      <c r="K863" s="54" t="n"/>
      <c r="L863" s="54" t="n"/>
      <c r="M863" s="54" t="n"/>
    </row>
    <row r="864" ht="15.75" customHeight="1" s="51">
      <c r="A864" s="102" t="n"/>
      <c r="B864" s="102" t="n"/>
      <c r="C864" s="94" t="n"/>
      <c r="D864" s="54" t="n"/>
      <c r="E864" s="54" t="n"/>
      <c r="F864" s="54" t="n"/>
      <c r="G864" s="54" t="n"/>
      <c r="H864" s="54" t="n"/>
      <c r="I864" s="54" t="n"/>
      <c r="J864" s="54" t="n"/>
      <c r="K864" s="54" t="n"/>
      <c r="L864" s="54" t="n"/>
      <c r="M864" s="54" t="n"/>
    </row>
    <row r="865" ht="15.75" customHeight="1" s="51">
      <c r="A865" s="102" t="n"/>
      <c r="B865" s="102" t="n"/>
      <c r="C865" s="94" t="n"/>
      <c r="D865" s="54" t="n"/>
      <c r="E865" s="54" t="n"/>
      <c r="F865" s="54" t="n"/>
      <c r="G865" s="54" t="n"/>
      <c r="H865" s="54" t="n"/>
      <c r="I865" s="54" t="n"/>
      <c r="J865" s="54" t="n"/>
      <c r="K865" s="54" t="n"/>
      <c r="L865" s="54" t="n"/>
      <c r="M865" s="54" t="n"/>
    </row>
    <row r="866" ht="15.75" customHeight="1" s="51">
      <c r="A866" s="102" t="n"/>
      <c r="B866" s="102" t="n"/>
      <c r="C866" s="94" t="n"/>
      <c r="D866" s="54" t="n"/>
      <c r="E866" s="54" t="n"/>
      <c r="F866" s="54" t="n"/>
      <c r="G866" s="54" t="n"/>
      <c r="H866" s="54" t="n"/>
      <c r="I866" s="54" t="n"/>
      <c r="J866" s="54" t="n"/>
      <c r="K866" s="54" t="n"/>
      <c r="L866" s="54" t="n"/>
      <c r="M866" s="54" t="n"/>
    </row>
    <row r="867" ht="15.75" customHeight="1" s="51">
      <c r="A867" s="102" t="n"/>
      <c r="B867" s="102" t="n"/>
      <c r="C867" s="94" t="n"/>
      <c r="D867" s="54" t="n"/>
      <c r="E867" s="54" t="n"/>
      <c r="F867" s="54" t="n"/>
      <c r="G867" s="54" t="n"/>
      <c r="H867" s="54" t="n"/>
      <c r="I867" s="54" t="n"/>
      <c r="J867" s="54" t="n"/>
      <c r="K867" s="54" t="n"/>
      <c r="L867" s="54" t="n"/>
      <c r="M867" s="54" t="n"/>
    </row>
    <row r="868" ht="15.75" customHeight="1" s="51">
      <c r="A868" s="102" t="n"/>
      <c r="B868" s="102" t="n"/>
      <c r="C868" s="94" t="n"/>
      <c r="D868" s="54" t="n"/>
      <c r="E868" s="54" t="n"/>
      <c r="F868" s="54" t="n"/>
      <c r="G868" s="54" t="n"/>
      <c r="H868" s="54" t="n"/>
      <c r="I868" s="54" t="n"/>
      <c r="J868" s="54" t="n"/>
      <c r="K868" s="54" t="n"/>
      <c r="L868" s="54" t="n"/>
      <c r="M868" s="54" t="n"/>
    </row>
    <row r="869" ht="15.75" customHeight="1" s="51">
      <c r="A869" s="102" t="n"/>
      <c r="B869" s="102" t="n"/>
      <c r="C869" s="94" t="n"/>
      <c r="D869" s="54" t="n"/>
      <c r="E869" s="54" t="n"/>
      <c r="F869" s="54" t="n"/>
      <c r="G869" s="54" t="n"/>
      <c r="H869" s="54" t="n"/>
      <c r="I869" s="54" t="n"/>
      <c r="J869" s="54" t="n"/>
      <c r="K869" s="54" t="n"/>
      <c r="L869" s="54" t="n"/>
      <c r="M869" s="54" t="n"/>
    </row>
    <row r="870" ht="15.75" customHeight="1" s="51">
      <c r="A870" s="102" t="n"/>
      <c r="B870" s="102" t="n"/>
      <c r="C870" s="94" t="n"/>
      <c r="D870" s="54" t="n"/>
      <c r="E870" s="54" t="n"/>
      <c r="F870" s="54" t="n"/>
      <c r="G870" s="54" t="n"/>
      <c r="H870" s="54" t="n"/>
      <c r="I870" s="54" t="n"/>
      <c r="J870" s="54" t="n"/>
      <c r="K870" s="54" t="n"/>
      <c r="L870" s="54" t="n"/>
      <c r="M870" s="54" t="n"/>
    </row>
    <row r="871" ht="15.75" customHeight="1" s="51">
      <c r="A871" s="102" t="n"/>
      <c r="B871" s="102" t="n"/>
      <c r="C871" s="94" t="n"/>
      <c r="D871" s="54" t="n"/>
      <c r="E871" s="54" t="n"/>
      <c r="F871" s="54" t="n"/>
      <c r="G871" s="54" t="n"/>
      <c r="H871" s="54" t="n"/>
      <c r="I871" s="54" t="n"/>
      <c r="J871" s="54" t="n"/>
      <c r="K871" s="54" t="n"/>
      <c r="L871" s="54" t="n"/>
      <c r="M871" s="54" t="n"/>
    </row>
    <row r="872" ht="15.75" customHeight="1" s="51">
      <c r="A872" s="102" t="n"/>
      <c r="B872" s="102" t="n"/>
      <c r="C872" s="94" t="n"/>
      <c r="D872" s="54" t="n"/>
      <c r="E872" s="54" t="n"/>
      <c r="F872" s="54" t="n"/>
      <c r="G872" s="54" t="n"/>
      <c r="H872" s="54" t="n"/>
      <c r="I872" s="54" t="n"/>
      <c r="J872" s="54" t="n"/>
      <c r="K872" s="54" t="n"/>
      <c r="L872" s="54" t="n"/>
      <c r="M872" s="54" t="n"/>
    </row>
    <row r="873" ht="15.75" customHeight="1" s="51">
      <c r="A873" s="102" t="n"/>
      <c r="B873" s="102" t="n"/>
      <c r="C873" s="94" t="n"/>
      <c r="D873" s="54" t="n"/>
      <c r="E873" s="54" t="n"/>
      <c r="F873" s="54" t="n"/>
      <c r="G873" s="54" t="n"/>
      <c r="H873" s="54" t="n"/>
      <c r="I873" s="54" t="n"/>
      <c r="J873" s="54" t="n"/>
      <c r="K873" s="54" t="n"/>
      <c r="L873" s="54" t="n"/>
      <c r="M873" s="54" t="n"/>
    </row>
    <row r="874" ht="15.75" customHeight="1" s="51">
      <c r="A874" s="102" t="n"/>
      <c r="B874" s="102" t="n"/>
      <c r="C874" s="94" t="n"/>
      <c r="D874" s="54" t="n"/>
      <c r="E874" s="54" t="n"/>
      <c r="F874" s="54" t="n"/>
      <c r="G874" s="54" t="n"/>
      <c r="H874" s="54" t="n"/>
      <c r="I874" s="54" t="n"/>
      <c r="J874" s="54" t="n"/>
      <c r="K874" s="54" t="n"/>
      <c r="L874" s="54" t="n"/>
      <c r="M874" s="54" t="n"/>
    </row>
    <row r="875" ht="15.75" customHeight="1" s="51">
      <c r="A875" s="102" t="n"/>
      <c r="B875" s="102" t="n"/>
      <c r="C875" s="94" t="n"/>
      <c r="D875" s="54" t="n"/>
      <c r="E875" s="54" t="n"/>
      <c r="F875" s="54" t="n"/>
      <c r="G875" s="54" t="n"/>
      <c r="H875" s="54" t="n"/>
      <c r="I875" s="54" t="n"/>
      <c r="J875" s="54" t="n"/>
      <c r="K875" s="54" t="n"/>
      <c r="L875" s="54" t="n"/>
      <c r="M875" s="54" t="n"/>
    </row>
    <row r="876" ht="15.75" customHeight="1" s="51">
      <c r="A876" s="102" t="n"/>
      <c r="B876" s="102" t="n"/>
      <c r="C876" s="94" t="n"/>
      <c r="D876" s="54" t="n"/>
      <c r="E876" s="54" t="n"/>
      <c r="F876" s="54" t="n"/>
      <c r="G876" s="54" t="n"/>
      <c r="H876" s="54" t="n"/>
      <c r="I876" s="54" t="n"/>
      <c r="J876" s="54" t="n"/>
      <c r="K876" s="54" t="n"/>
      <c r="L876" s="54" t="n"/>
      <c r="M876" s="54" t="n"/>
    </row>
    <row r="877" ht="15.75" customHeight="1" s="51">
      <c r="A877" s="102" t="n"/>
      <c r="B877" s="102" t="n"/>
      <c r="C877" s="94" t="n"/>
      <c r="D877" s="54" t="n"/>
      <c r="E877" s="54" t="n"/>
      <c r="F877" s="54" t="n"/>
      <c r="G877" s="54" t="n"/>
      <c r="H877" s="54" t="n"/>
      <c r="I877" s="54" t="n"/>
      <c r="J877" s="54" t="n"/>
      <c r="K877" s="54" t="n"/>
      <c r="L877" s="54" t="n"/>
      <c r="M877" s="54" t="n"/>
    </row>
    <row r="878" ht="15.75" customHeight="1" s="51">
      <c r="A878" s="102" t="n"/>
      <c r="B878" s="102" t="n"/>
      <c r="C878" s="94" t="n"/>
      <c r="D878" s="54" t="n"/>
      <c r="E878" s="54" t="n"/>
      <c r="F878" s="54" t="n"/>
      <c r="G878" s="54" t="n"/>
      <c r="H878" s="54" t="n"/>
      <c r="I878" s="54" t="n"/>
      <c r="J878" s="54" t="n"/>
      <c r="K878" s="54" t="n"/>
      <c r="L878" s="54" t="n"/>
      <c r="M878" s="54" t="n"/>
    </row>
    <row r="879" ht="15.75" customHeight="1" s="51">
      <c r="A879" s="102" t="n"/>
      <c r="B879" s="102" t="n"/>
      <c r="C879" s="94" t="n"/>
      <c r="D879" s="54" t="n"/>
      <c r="E879" s="54" t="n"/>
      <c r="F879" s="54" t="n"/>
      <c r="G879" s="54" t="n"/>
      <c r="H879" s="54" t="n"/>
      <c r="I879" s="54" t="n"/>
      <c r="J879" s="54" t="n"/>
      <c r="K879" s="54" t="n"/>
      <c r="L879" s="54" t="n"/>
      <c r="M879" s="54" t="n"/>
    </row>
    <row r="880" ht="15.75" customHeight="1" s="51">
      <c r="A880" s="102" t="n"/>
      <c r="B880" s="102" t="n"/>
      <c r="C880" s="94" t="n"/>
      <c r="D880" s="54" t="n"/>
      <c r="E880" s="54" t="n"/>
      <c r="F880" s="54" t="n"/>
      <c r="G880" s="54" t="n"/>
      <c r="H880" s="54" t="n"/>
      <c r="I880" s="54" t="n"/>
      <c r="J880" s="54" t="n"/>
      <c r="K880" s="54" t="n"/>
      <c r="L880" s="54" t="n"/>
      <c r="M880" s="54" t="n"/>
    </row>
    <row r="881" ht="15.75" customHeight="1" s="51">
      <c r="A881" s="102" t="n"/>
      <c r="B881" s="102" t="n"/>
      <c r="C881" s="94" t="n"/>
      <c r="D881" s="54" t="n"/>
      <c r="E881" s="54" t="n"/>
      <c r="F881" s="54" t="n"/>
      <c r="G881" s="54" t="n"/>
      <c r="H881" s="54" t="n"/>
      <c r="I881" s="54" t="n"/>
      <c r="J881" s="54" t="n"/>
      <c r="K881" s="54" t="n"/>
      <c r="L881" s="54" t="n"/>
      <c r="M881" s="54" t="n"/>
    </row>
    <row r="882" ht="15.75" customHeight="1" s="51">
      <c r="A882" s="102" t="n"/>
      <c r="B882" s="102" t="n"/>
      <c r="C882" s="94" t="n"/>
      <c r="D882" s="54" t="n"/>
      <c r="E882" s="54" t="n"/>
      <c r="F882" s="54" t="n"/>
      <c r="G882" s="54" t="n"/>
      <c r="H882" s="54" t="n"/>
      <c r="I882" s="54" t="n"/>
      <c r="J882" s="54" t="n"/>
      <c r="K882" s="54" t="n"/>
      <c r="L882" s="54" t="n"/>
      <c r="M882" s="54" t="n"/>
    </row>
    <row r="883" ht="15.75" customHeight="1" s="51">
      <c r="A883" s="102" t="n"/>
      <c r="B883" s="102" t="n"/>
      <c r="C883" s="94" t="n"/>
      <c r="D883" s="54" t="n"/>
      <c r="E883" s="54" t="n"/>
      <c r="F883" s="54" t="n"/>
      <c r="G883" s="54" t="n"/>
      <c r="H883" s="54" t="n"/>
      <c r="I883" s="54" t="n"/>
      <c r="J883" s="54" t="n"/>
      <c r="K883" s="54" t="n"/>
      <c r="L883" s="54" t="n"/>
      <c r="M883" s="54" t="n"/>
    </row>
    <row r="884" ht="15.75" customHeight="1" s="51">
      <c r="A884" s="102" t="n"/>
      <c r="B884" s="102" t="n"/>
      <c r="C884" s="94" t="n"/>
      <c r="D884" s="54" t="n"/>
      <c r="E884" s="54" t="n"/>
      <c r="F884" s="54" t="n"/>
      <c r="G884" s="54" t="n"/>
      <c r="H884" s="54" t="n"/>
      <c r="I884" s="54" t="n"/>
      <c r="J884" s="54" t="n"/>
      <c r="K884" s="54" t="n"/>
      <c r="L884" s="54" t="n"/>
      <c r="M884" s="54" t="n"/>
    </row>
    <row r="885" ht="15.75" customHeight="1" s="51">
      <c r="A885" s="102" t="n"/>
      <c r="B885" s="102" t="n"/>
      <c r="C885" s="94" t="n"/>
      <c r="D885" s="54" t="n"/>
      <c r="E885" s="54" t="n"/>
      <c r="F885" s="54" t="n"/>
      <c r="G885" s="54" t="n"/>
      <c r="H885" s="54" t="n"/>
      <c r="I885" s="54" t="n"/>
      <c r="J885" s="54" t="n"/>
      <c r="K885" s="54" t="n"/>
      <c r="L885" s="54" t="n"/>
      <c r="M885" s="54" t="n"/>
    </row>
    <row r="886" ht="15.75" customHeight="1" s="51">
      <c r="A886" s="102" t="n"/>
      <c r="B886" s="102" t="n"/>
      <c r="C886" s="94" t="n"/>
      <c r="D886" s="54" t="n"/>
      <c r="E886" s="54" t="n"/>
      <c r="F886" s="54" t="n"/>
      <c r="G886" s="54" t="n"/>
      <c r="H886" s="54" t="n"/>
      <c r="I886" s="54" t="n"/>
      <c r="J886" s="54" t="n"/>
      <c r="K886" s="54" t="n"/>
      <c r="L886" s="54" t="n"/>
      <c r="M886" s="54" t="n"/>
    </row>
    <row r="887" ht="15.75" customHeight="1" s="51">
      <c r="A887" s="102" t="n"/>
      <c r="B887" s="102" t="n"/>
      <c r="C887" s="94" t="n"/>
      <c r="D887" s="54" t="n"/>
      <c r="E887" s="54" t="n"/>
      <c r="F887" s="54" t="n"/>
      <c r="G887" s="54" t="n"/>
      <c r="H887" s="54" t="n"/>
      <c r="I887" s="54" t="n"/>
      <c r="J887" s="54" t="n"/>
      <c r="K887" s="54" t="n"/>
      <c r="L887" s="54" t="n"/>
      <c r="M887" s="54" t="n"/>
    </row>
    <row r="888" ht="15.75" customHeight="1" s="51">
      <c r="A888" s="102" t="n"/>
      <c r="B888" s="102" t="n"/>
      <c r="C888" s="94" t="n"/>
      <c r="D888" s="54" t="n"/>
      <c r="E888" s="54" t="n"/>
      <c r="F888" s="54" t="n"/>
      <c r="G888" s="54" t="n"/>
      <c r="H888" s="54" t="n"/>
      <c r="I888" s="54" t="n"/>
      <c r="J888" s="54" t="n"/>
      <c r="K888" s="54" t="n"/>
      <c r="L888" s="54" t="n"/>
      <c r="M888" s="54" t="n"/>
    </row>
    <row r="889" ht="15.75" customHeight="1" s="51">
      <c r="A889" s="102" t="n"/>
      <c r="B889" s="102" t="n"/>
      <c r="C889" s="94" t="n"/>
      <c r="D889" s="54" t="n"/>
      <c r="E889" s="54" t="n"/>
      <c r="F889" s="54" t="n"/>
      <c r="G889" s="54" t="n"/>
      <c r="H889" s="54" t="n"/>
      <c r="I889" s="54" t="n"/>
      <c r="J889" s="54" t="n"/>
      <c r="K889" s="54" t="n"/>
      <c r="L889" s="54" t="n"/>
      <c r="M889" s="54" t="n"/>
    </row>
    <row r="890" ht="15.75" customHeight="1" s="51">
      <c r="A890" s="102" t="n"/>
      <c r="B890" s="102" t="n"/>
      <c r="C890" s="94" t="n"/>
      <c r="D890" s="54" t="n"/>
      <c r="E890" s="54" t="n"/>
      <c r="F890" s="54" t="n"/>
      <c r="G890" s="54" t="n"/>
      <c r="H890" s="54" t="n"/>
      <c r="I890" s="54" t="n"/>
      <c r="J890" s="54" t="n"/>
      <c r="K890" s="54" t="n"/>
      <c r="L890" s="54" t="n"/>
      <c r="M890" s="54" t="n"/>
    </row>
    <row r="891" ht="15.75" customHeight="1" s="51">
      <c r="A891" s="102" t="n"/>
      <c r="B891" s="102" t="n"/>
      <c r="C891" s="94" t="n"/>
      <c r="D891" s="54" t="n"/>
      <c r="E891" s="54" t="n"/>
      <c r="F891" s="54" t="n"/>
      <c r="G891" s="54" t="n"/>
      <c r="H891" s="54" t="n"/>
      <c r="I891" s="54" t="n"/>
      <c r="J891" s="54" t="n"/>
      <c r="K891" s="54" t="n"/>
      <c r="L891" s="54" t="n"/>
      <c r="M891" s="54" t="n"/>
    </row>
    <row r="892" ht="15.75" customHeight="1" s="51">
      <c r="A892" s="102" t="n"/>
      <c r="B892" s="102" t="n"/>
      <c r="C892" s="94" t="n"/>
      <c r="D892" s="54" t="n"/>
      <c r="E892" s="54" t="n"/>
      <c r="F892" s="54" t="n"/>
      <c r="G892" s="54" t="n"/>
      <c r="H892" s="54" t="n"/>
      <c r="I892" s="54" t="n"/>
      <c r="J892" s="54" t="n"/>
      <c r="K892" s="54" t="n"/>
      <c r="L892" s="54" t="n"/>
      <c r="M892" s="54" t="n"/>
    </row>
    <row r="893" ht="15.75" customHeight="1" s="51">
      <c r="A893" s="102" t="n"/>
      <c r="B893" s="102" t="n"/>
      <c r="C893" s="94" t="n"/>
      <c r="D893" s="54" t="n"/>
      <c r="E893" s="54" t="n"/>
      <c r="F893" s="54" t="n"/>
      <c r="G893" s="54" t="n"/>
      <c r="H893" s="54" t="n"/>
      <c r="I893" s="54" t="n"/>
      <c r="J893" s="54" t="n"/>
      <c r="K893" s="54" t="n"/>
      <c r="L893" s="54" t="n"/>
      <c r="M893" s="54" t="n"/>
    </row>
    <row r="894" ht="15.75" customHeight="1" s="51">
      <c r="A894" s="102" t="n"/>
      <c r="B894" s="102" t="n"/>
      <c r="C894" s="94" t="n"/>
      <c r="D894" s="54" t="n"/>
      <c r="E894" s="54" t="n"/>
      <c r="F894" s="54" t="n"/>
      <c r="G894" s="54" t="n"/>
      <c r="H894" s="54" t="n"/>
      <c r="I894" s="54" t="n"/>
      <c r="J894" s="54" t="n"/>
      <c r="K894" s="54" t="n"/>
      <c r="L894" s="54" t="n"/>
      <c r="M894" s="54" t="n"/>
    </row>
    <row r="895" ht="15.75" customHeight="1" s="51">
      <c r="A895" s="102" t="n"/>
      <c r="B895" s="102" t="n"/>
      <c r="C895" s="94" t="n"/>
      <c r="D895" s="54" t="n"/>
      <c r="E895" s="54" t="n"/>
      <c r="F895" s="54" t="n"/>
      <c r="G895" s="54" t="n"/>
      <c r="H895" s="54" t="n"/>
      <c r="I895" s="54" t="n"/>
      <c r="J895" s="54" t="n"/>
      <c r="K895" s="54" t="n"/>
      <c r="L895" s="54" t="n"/>
      <c r="M895" s="54" t="n"/>
    </row>
    <row r="896" ht="15.75" customHeight="1" s="51">
      <c r="A896" s="102" t="n"/>
      <c r="B896" s="102" t="n"/>
      <c r="C896" s="94" t="n"/>
      <c r="D896" s="54" t="n"/>
      <c r="E896" s="54" t="n"/>
      <c r="F896" s="54" t="n"/>
      <c r="G896" s="54" t="n"/>
      <c r="H896" s="54" t="n"/>
      <c r="I896" s="54" t="n"/>
      <c r="J896" s="54" t="n"/>
      <c r="K896" s="54" t="n"/>
      <c r="L896" s="54" t="n"/>
      <c r="M896" s="54" t="n"/>
    </row>
    <row r="897" ht="15.75" customHeight="1" s="51">
      <c r="A897" s="102" t="n"/>
      <c r="B897" s="102" t="n"/>
      <c r="C897" s="94" t="n"/>
      <c r="D897" s="54" t="n"/>
      <c r="E897" s="54" t="n"/>
      <c r="F897" s="54" t="n"/>
      <c r="G897" s="54" t="n"/>
      <c r="H897" s="54" t="n"/>
      <c r="I897" s="54" t="n"/>
      <c r="J897" s="54" t="n"/>
      <c r="K897" s="54" t="n"/>
      <c r="L897" s="54" t="n"/>
      <c r="M897" s="54" t="n"/>
    </row>
    <row r="898" ht="15.75" customHeight="1" s="51">
      <c r="A898" s="102" t="n"/>
      <c r="B898" s="102" t="n"/>
      <c r="C898" s="94" t="n"/>
      <c r="D898" s="54" t="n"/>
      <c r="E898" s="54" t="n"/>
      <c r="F898" s="54" t="n"/>
      <c r="G898" s="54" t="n"/>
      <c r="H898" s="54" t="n"/>
      <c r="I898" s="54" t="n"/>
      <c r="J898" s="54" t="n"/>
      <c r="K898" s="54" t="n"/>
      <c r="L898" s="54" t="n"/>
      <c r="M898" s="54" t="n"/>
    </row>
    <row r="899" ht="15.75" customHeight="1" s="51">
      <c r="A899" s="102" t="n"/>
      <c r="B899" s="102" t="n"/>
      <c r="C899" s="94" t="n"/>
      <c r="D899" s="54" t="n"/>
      <c r="E899" s="54" t="n"/>
      <c r="F899" s="54" t="n"/>
      <c r="G899" s="54" t="n"/>
      <c r="H899" s="54" t="n"/>
      <c r="I899" s="54" t="n"/>
      <c r="J899" s="54" t="n"/>
      <c r="K899" s="54" t="n"/>
      <c r="L899" s="54" t="n"/>
      <c r="M899" s="54" t="n"/>
    </row>
    <row r="900" ht="15.75" customHeight="1" s="51">
      <c r="A900" s="102" t="n"/>
      <c r="B900" s="102" t="n"/>
      <c r="C900" s="94" t="n"/>
      <c r="D900" s="54" t="n"/>
      <c r="E900" s="54" t="n"/>
      <c r="F900" s="54" t="n"/>
      <c r="G900" s="54" t="n"/>
      <c r="H900" s="54" t="n"/>
      <c r="I900" s="54" t="n"/>
      <c r="J900" s="54" t="n"/>
      <c r="K900" s="54" t="n"/>
      <c r="L900" s="54" t="n"/>
      <c r="M900" s="54" t="n"/>
    </row>
    <row r="901" ht="15.75" customHeight="1" s="51">
      <c r="A901" s="102" t="n"/>
      <c r="B901" s="102" t="n"/>
      <c r="C901" s="94" t="n"/>
      <c r="D901" s="54" t="n"/>
      <c r="E901" s="54" t="n"/>
      <c r="F901" s="54" t="n"/>
      <c r="G901" s="54" t="n"/>
      <c r="H901" s="54" t="n"/>
      <c r="I901" s="54" t="n"/>
      <c r="J901" s="54" t="n"/>
      <c r="K901" s="54" t="n"/>
      <c r="L901" s="54" t="n"/>
      <c r="M901" s="54" t="n"/>
    </row>
    <row r="902" ht="15.75" customHeight="1" s="51">
      <c r="A902" s="102" t="n"/>
      <c r="B902" s="102" t="n"/>
      <c r="C902" s="94" t="n"/>
      <c r="D902" s="54" t="n"/>
      <c r="E902" s="54" t="n"/>
      <c r="F902" s="54" t="n"/>
      <c r="G902" s="54" t="n"/>
      <c r="H902" s="54" t="n"/>
      <c r="I902" s="54" t="n"/>
      <c r="J902" s="54" t="n"/>
      <c r="K902" s="54" t="n"/>
      <c r="L902" s="54" t="n"/>
      <c r="M902" s="54" t="n"/>
    </row>
    <row r="903" ht="15.75" customHeight="1" s="51">
      <c r="A903" s="102" t="n"/>
      <c r="B903" s="102" t="n"/>
      <c r="C903" s="94" t="n"/>
      <c r="D903" s="54" t="n"/>
      <c r="E903" s="54" t="n"/>
      <c r="F903" s="54" t="n"/>
      <c r="G903" s="54" t="n"/>
      <c r="H903" s="54" t="n"/>
      <c r="I903" s="54" t="n"/>
      <c r="J903" s="54" t="n"/>
      <c r="K903" s="54" t="n"/>
      <c r="L903" s="54" t="n"/>
      <c r="M903" s="54" t="n"/>
    </row>
    <row r="904" ht="15.75" customHeight="1" s="51">
      <c r="A904" s="102" t="n"/>
      <c r="B904" s="102" t="n"/>
      <c r="C904" s="94" t="n"/>
      <c r="D904" s="54" t="n"/>
      <c r="E904" s="54" t="n"/>
      <c r="F904" s="54" t="n"/>
      <c r="G904" s="54" t="n"/>
      <c r="H904" s="54" t="n"/>
      <c r="I904" s="54" t="n"/>
      <c r="J904" s="54" t="n"/>
      <c r="K904" s="54" t="n"/>
      <c r="L904" s="54" t="n"/>
      <c r="M904" s="54" t="n"/>
    </row>
    <row r="905" ht="15.75" customHeight="1" s="51">
      <c r="A905" s="102" t="n"/>
      <c r="B905" s="102" t="n"/>
      <c r="C905" s="94" t="n"/>
      <c r="D905" s="54" t="n"/>
      <c r="E905" s="54" t="n"/>
      <c r="F905" s="54" t="n"/>
      <c r="G905" s="54" t="n"/>
      <c r="H905" s="54" t="n"/>
      <c r="I905" s="54" t="n"/>
      <c r="J905" s="54" t="n"/>
      <c r="K905" s="54" t="n"/>
      <c r="L905" s="54" t="n"/>
      <c r="M905" s="54" t="n"/>
    </row>
    <row r="906" ht="15.75" customHeight="1" s="51">
      <c r="A906" s="102" t="n"/>
      <c r="B906" s="102" t="n"/>
      <c r="C906" s="94" t="n"/>
      <c r="D906" s="54" t="n"/>
      <c r="E906" s="54" t="n"/>
      <c r="F906" s="54" t="n"/>
      <c r="G906" s="54" t="n"/>
      <c r="H906" s="54" t="n"/>
      <c r="I906" s="54" t="n"/>
      <c r="J906" s="54" t="n"/>
      <c r="K906" s="54" t="n"/>
      <c r="L906" s="54" t="n"/>
      <c r="M906" s="54" t="n"/>
    </row>
    <row r="907" ht="15.75" customHeight="1" s="51">
      <c r="A907" s="102" t="n"/>
      <c r="B907" s="102" t="n"/>
      <c r="C907" s="94" t="n"/>
      <c r="D907" s="54" t="n"/>
      <c r="E907" s="54" t="n"/>
      <c r="F907" s="54" t="n"/>
      <c r="G907" s="54" t="n"/>
      <c r="H907" s="54" t="n"/>
      <c r="I907" s="54" t="n"/>
      <c r="J907" s="54" t="n"/>
      <c r="K907" s="54" t="n"/>
      <c r="L907" s="54" t="n"/>
      <c r="M907" s="54" t="n"/>
    </row>
    <row r="908" ht="15.75" customHeight="1" s="51">
      <c r="A908" s="102" t="n"/>
      <c r="B908" s="102" t="n"/>
      <c r="C908" s="94" t="n"/>
      <c r="D908" s="54" t="n"/>
      <c r="E908" s="54" t="n"/>
      <c r="F908" s="54" t="n"/>
      <c r="G908" s="54" t="n"/>
      <c r="H908" s="54" t="n"/>
      <c r="I908" s="54" t="n"/>
      <c r="J908" s="54" t="n"/>
      <c r="K908" s="54" t="n"/>
      <c r="L908" s="54" t="n"/>
      <c r="M908" s="54" t="n"/>
    </row>
    <row r="909" ht="15.75" customHeight="1" s="51">
      <c r="A909" s="102" t="n"/>
      <c r="B909" s="102" t="n"/>
      <c r="C909" s="94" t="n"/>
      <c r="D909" s="54" t="n"/>
      <c r="E909" s="54" t="n"/>
      <c r="F909" s="54" t="n"/>
      <c r="G909" s="54" t="n"/>
      <c r="H909" s="54" t="n"/>
      <c r="I909" s="54" t="n"/>
      <c r="J909" s="54" t="n"/>
      <c r="K909" s="54" t="n"/>
      <c r="L909" s="54" t="n"/>
      <c r="M909" s="54" t="n"/>
    </row>
    <row r="910" ht="15.75" customHeight="1" s="51">
      <c r="A910" s="102" t="n"/>
      <c r="B910" s="102" t="n"/>
      <c r="C910" s="94" t="n"/>
      <c r="D910" s="54" t="n"/>
      <c r="E910" s="54" t="n"/>
      <c r="F910" s="54" t="n"/>
      <c r="G910" s="54" t="n"/>
      <c r="H910" s="54" t="n"/>
      <c r="I910" s="54" t="n"/>
      <c r="J910" s="54" t="n"/>
      <c r="K910" s="54" t="n"/>
      <c r="L910" s="54" t="n"/>
      <c r="M910" s="54" t="n"/>
    </row>
    <row r="911" ht="15.75" customHeight="1" s="51">
      <c r="A911" s="102" t="n"/>
      <c r="B911" s="102" t="n"/>
      <c r="C911" s="94" t="n"/>
      <c r="D911" s="54" t="n"/>
      <c r="E911" s="54" t="n"/>
      <c r="F911" s="54" t="n"/>
      <c r="G911" s="54" t="n"/>
      <c r="H911" s="54" t="n"/>
      <c r="I911" s="54" t="n"/>
      <c r="J911" s="54" t="n"/>
      <c r="K911" s="54" t="n"/>
      <c r="L911" s="54" t="n"/>
      <c r="M911" s="54" t="n"/>
    </row>
    <row r="912" ht="15.75" customHeight="1" s="51">
      <c r="A912" s="102" t="n"/>
      <c r="B912" s="102" t="n"/>
      <c r="C912" s="94" t="n"/>
      <c r="D912" s="54" t="n"/>
      <c r="E912" s="54" t="n"/>
      <c r="F912" s="54" t="n"/>
      <c r="G912" s="54" t="n"/>
      <c r="H912" s="54" t="n"/>
      <c r="I912" s="54" t="n"/>
      <c r="J912" s="54" t="n"/>
      <c r="K912" s="54" t="n"/>
      <c r="L912" s="54" t="n"/>
      <c r="M912" s="54" t="n"/>
    </row>
    <row r="913" ht="15.75" customHeight="1" s="51">
      <c r="A913" s="102" t="n"/>
      <c r="B913" s="102" t="n"/>
      <c r="C913" s="94" t="n"/>
      <c r="D913" s="54" t="n"/>
      <c r="E913" s="54" t="n"/>
      <c r="F913" s="54" t="n"/>
      <c r="G913" s="54" t="n"/>
      <c r="H913" s="54" t="n"/>
      <c r="I913" s="54" t="n"/>
      <c r="J913" s="54" t="n"/>
      <c r="K913" s="54" t="n"/>
      <c r="L913" s="54" t="n"/>
      <c r="M913" s="54" t="n"/>
    </row>
    <row r="914" ht="15.75" customHeight="1" s="51">
      <c r="A914" s="102" t="n"/>
      <c r="B914" s="102" t="n"/>
      <c r="C914" s="94" t="n"/>
      <c r="D914" s="54" t="n"/>
      <c r="E914" s="54" t="n"/>
      <c r="F914" s="54" t="n"/>
      <c r="G914" s="54" t="n"/>
      <c r="H914" s="54" t="n"/>
      <c r="I914" s="54" t="n"/>
      <c r="J914" s="54" t="n"/>
      <c r="K914" s="54" t="n"/>
      <c r="L914" s="54" t="n"/>
      <c r="M914" s="54" t="n"/>
    </row>
    <row r="915" ht="15.75" customHeight="1" s="51">
      <c r="A915" s="102" t="n"/>
      <c r="B915" s="102" t="n"/>
      <c r="C915" s="94" t="n"/>
      <c r="D915" s="54" t="n"/>
      <c r="E915" s="54" t="n"/>
      <c r="F915" s="54" t="n"/>
      <c r="G915" s="54" t="n"/>
      <c r="H915" s="54" t="n"/>
      <c r="I915" s="54" t="n"/>
      <c r="J915" s="54" t="n"/>
      <c r="K915" s="54" t="n"/>
      <c r="L915" s="54" t="n"/>
      <c r="M915" s="54" t="n"/>
    </row>
    <row r="916" ht="15.75" customHeight="1" s="51">
      <c r="A916" s="102" t="n"/>
      <c r="B916" s="102" t="n"/>
      <c r="C916" s="94" t="n"/>
      <c r="D916" s="54" t="n"/>
      <c r="E916" s="54" t="n"/>
      <c r="F916" s="54" t="n"/>
      <c r="G916" s="54" t="n"/>
      <c r="H916" s="54" t="n"/>
      <c r="I916" s="54" t="n"/>
      <c r="J916" s="54" t="n"/>
      <c r="K916" s="54" t="n"/>
      <c r="L916" s="54" t="n"/>
      <c r="M916" s="54" t="n"/>
    </row>
    <row r="917" ht="15.75" customHeight="1" s="51">
      <c r="A917" s="102" t="n"/>
      <c r="B917" s="102" t="n"/>
      <c r="C917" s="94" t="n"/>
      <c r="D917" s="54" t="n"/>
      <c r="E917" s="54" t="n"/>
      <c r="F917" s="54" t="n"/>
      <c r="G917" s="54" t="n"/>
      <c r="H917" s="54" t="n"/>
      <c r="I917" s="54" t="n"/>
      <c r="J917" s="54" t="n"/>
      <c r="K917" s="54" t="n"/>
      <c r="L917" s="54" t="n"/>
      <c r="M917" s="54" t="n"/>
    </row>
    <row r="918" ht="15.75" customHeight="1" s="51">
      <c r="A918" s="102" t="n"/>
      <c r="B918" s="102" t="n"/>
      <c r="C918" s="94" t="n"/>
      <c r="D918" s="54" t="n"/>
      <c r="E918" s="54" t="n"/>
      <c r="F918" s="54" t="n"/>
      <c r="G918" s="54" t="n"/>
      <c r="H918" s="54" t="n"/>
      <c r="I918" s="54" t="n"/>
      <c r="J918" s="54" t="n"/>
      <c r="K918" s="54" t="n"/>
      <c r="L918" s="54" t="n"/>
      <c r="M918" s="54" t="n"/>
    </row>
    <row r="919" ht="15.75" customHeight="1" s="51">
      <c r="A919" s="102" t="n"/>
      <c r="B919" s="102" t="n"/>
      <c r="C919" s="94" t="n"/>
      <c r="D919" s="54" t="n"/>
      <c r="E919" s="54" t="n"/>
      <c r="F919" s="54" t="n"/>
      <c r="G919" s="54" t="n"/>
      <c r="H919" s="54" t="n"/>
      <c r="I919" s="54" t="n"/>
      <c r="J919" s="54" t="n"/>
      <c r="K919" s="54" t="n"/>
      <c r="L919" s="54" t="n"/>
      <c r="M919" s="54" t="n"/>
    </row>
    <row r="920" ht="15.75" customHeight="1" s="51">
      <c r="A920" s="102" t="n"/>
      <c r="B920" s="102" t="n"/>
      <c r="C920" s="94" t="n"/>
      <c r="D920" s="54" t="n"/>
      <c r="E920" s="54" t="n"/>
      <c r="F920" s="54" t="n"/>
      <c r="G920" s="54" t="n"/>
      <c r="H920" s="54" t="n"/>
      <c r="I920" s="54" t="n"/>
      <c r="J920" s="54" t="n"/>
      <c r="K920" s="54" t="n"/>
      <c r="L920" s="54" t="n"/>
      <c r="M920" s="54" t="n"/>
    </row>
    <row r="921" ht="15.75" customHeight="1" s="51">
      <c r="A921" s="102" t="n"/>
      <c r="B921" s="102" t="n"/>
      <c r="C921" s="94" t="n"/>
      <c r="D921" s="54" t="n"/>
      <c r="E921" s="54" t="n"/>
      <c r="F921" s="54" t="n"/>
      <c r="G921" s="54" t="n"/>
      <c r="H921" s="54" t="n"/>
      <c r="I921" s="54" t="n"/>
      <c r="J921" s="54" t="n"/>
      <c r="K921" s="54" t="n"/>
      <c r="L921" s="54" t="n"/>
      <c r="M921" s="54" t="n"/>
    </row>
    <row r="922" ht="15.75" customHeight="1" s="51">
      <c r="A922" s="102" t="n"/>
      <c r="B922" s="102" t="n"/>
      <c r="C922" s="94" t="n"/>
      <c r="D922" s="54" t="n"/>
      <c r="E922" s="54" t="n"/>
      <c r="F922" s="54" t="n"/>
      <c r="G922" s="54" t="n"/>
      <c r="H922" s="54" t="n"/>
      <c r="I922" s="54" t="n"/>
      <c r="J922" s="54" t="n"/>
      <c r="K922" s="54" t="n"/>
      <c r="L922" s="54" t="n"/>
      <c r="M922" s="54" t="n"/>
    </row>
    <row r="923" ht="15.75" customHeight="1" s="51">
      <c r="A923" s="102" t="n"/>
      <c r="B923" s="102" t="n"/>
      <c r="C923" s="94" t="n"/>
      <c r="D923" s="54" t="n"/>
      <c r="E923" s="54" t="n"/>
      <c r="F923" s="54" t="n"/>
      <c r="G923" s="54" t="n"/>
      <c r="H923" s="54" t="n"/>
      <c r="I923" s="54" t="n"/>
      <c r="J923" s="54" t="n"/>
      <c r="K923" s="54" t="n"/>
      <c r="L923" s="54" t="n"/>
      <c r="M923" s="54" t="n"/>
    </row>
    <row r="924" ht="15.75" customHeight="1" s="51">
      <c r="A924" s="102" t="n"/>
      <c r="B924" s="102" t="n"/>
      <c r="C924" s="94" t="n"/>
      <c r="D924" s="54" t="n"/>
      <c r="E924" s="54" t="n"/>
      <c r="F924" s="54" t="n"/>
      <c r="G924" s="54" t="n"/>
      <c r="H924" s="54" t="n"/>
      <c r="I924" s="54" t="n"/>
      <c r="J924" s="54" t="n"/>
      <c r="K924" s="54" t="n"/>
      <c r="L924" s="54" t="n"/>
      <c r="M924" s="54" t="n"/>
    </row>
    <row r="925" ht="15.75" customHeight="1" s="51">
      <c r="A925" s="102" t="n"/>
      <c r="B925" s="102" t="n"/>
      <c r="C925" s="94" t="n"/>
      <c r="D925" s="54" t="n"/>
      <c r="E925" s="54" t="n"/>
      <c r="F925" s="54" t="n"/>
      <c r="G925" s="54" t="n"/>
      <c r="H925" s="54" t="n"/>
      <c r="I925" s="54" t="n"/>
      <c r="J925" s="54" t="n"/>
      <c r="K925" s="54" t="n"/>
      <c r="L925" s="54" t="n"/>
      <c r="M925" s="54" t="n"/>
    </row>
    <row r="926" ht="15.75" customHeight="1" s="51">
      <c r="A926" s="102" t="n"/>
      <c r="B926" s="102" t="n"/>
      <c r="C926" s="94" t="n"/>
      <c r="D926" s="54" t="n"/>
      <c r="E926" s="54" t="n"/>
      <c r="F926" s="54" t="n"/>
      <c r="G926" s="54" t="n"/>
      <c r="H926" s="54" t="n"/>
      <c r="I926" s="54" t="n"/>
      <c r="J926" s="54" t="n"/>
      <c r="K926" s="54" t="n"/>
      <c r="L926" s="54" t="n"/>
      <c r="M926" s="54" t="n"/>
    </row>
    <row r="927" ht="15.75" customHeight="1" s="51">
      <c r="A927" s="102" t="n"/>
      <c r="B927" s="102" t="n"/>
      <c r="C927" s="94" t="n"/>
      <c r="D927" s="54" t="n"/>
      <c r="E927" s="54" t="n"/>
      <c r="F927" s="54" t="n"/>
      <c r="G927" s="54" t="n"/>
      <c r="H927" s="54" t="n"/>
      <c r="I927" s="54" t="n"/>
      <c r="J927" s="54" t="n"/>
      <c r="K927" s="54" t="n"/>
      <c r="L927" s="54" t="n"/>
      <c r="M927" s="54" t="n"/>
    </row>
    <row r="928" ht="15.75" customHeight="1" s="51">
      <c r="A928" s="102" t="n"/>
      <c r="B928" s="102" t="n"/>
      <c r="C928" s="94" t="n"/>
      <c r="D928" s="54" t="n"/>
      <c r="E928" s="54" t="n"/>
      <c r="F928" s="54" t="n"/>
      <c r="G928" s="54" t="n"/>
      <c r="H928" s="54" t="n"/>
      <c r="I928" s="54" t="n"/>
      <c r="J928" s="54" t="n"/>
      <c r="K928" s="54" t="n"/>
      <c r="L928" s="54" t="n"/>
      <c r="M928" s="54" t="n"/>
    </row>
    <row r="929" ht="15.75" customHeight="1" s="51">
      <c r="A929" s="102" t="n"/>
      <c r="B929" s="102" t="n"/>
      <c r="C929" s="94" t="n"/>
      <c r="D929" s="54" t="n"/>
      <c r="E929" s="54" t="n"/>
      <c r="F929" s="54" t="n"/>
      <c r="G929" s="54" t="n"/>
      <c r="H929" s="54" t="n"/>
      <c r="I929" s="54" t="n"/>
      <c r="J929" s="54" t="n"/>
      <c r="K929" s="54" t="n"/>
      <c r="L929" s="54" t="n"/>
      <c r="M929" s="54" t="n"/>
    </row>
    <row r="930" ht="15.75" customHeight="1" s="51">
      <c r="A930" s="102" t="n"/>
      <c r="B930" s="102" t="n"/>
      <c r="C930" s="94" t="n"/>
      <c r="D930" s="54" t="n"/>
      <c r="E930" s="54" t="n"/>
      <c r="F930" s="54" t="n"/>
      <c r="G930" s="54" t="n"/>
      <c r="H930" s="54" t="n"/>
      <c r="I930" s="54" t="n"/>
      <c r="J930" s="54" t="n"/>
      <c r="K930" s="54" t="n"/>
      <c r="L930" s="54" t="n"/>
      <c r="M930" s="54" t="n"/>
    </row>
    <row r="931" ht="15.75" customHeight="1" s="51">
      <c r="A931" s="102" t="n"/>
      <c r="B931" s="102" t="n"/>
      <c r="C931" s="94" t="n"/>
      <c r="D931" s="54" t="n"/>
      <c r="E931" s="54" t="n"/>
      <c r="F931" s="54" t="n"/>
      <c r="G931" s="54" t="n"/>
      <c r="H931" s="54" t="n"/>
      <c r="I931" s="54" t="n"/>
      <c r="J931" s="54" t="n"/>
      <c r="K931" s="54" t="n"/>
      <c r="L931" s="54" t="n"/>
      <c r="M931" s="54" t="n"/>
    </row>
    <row r="932" ht="15.75" customHeight="1" s="51">
      <c r="A932" s="102" t="n"/>
      <c r="B932" s="102" t="n"/>
      <c r="C932" s="94" t="n"/>
      <c r="D932" s="54" t="n"/>
      <c r="E932" s="54" t="n"/>
      <c r="F932" s="54" t="n"/>
      <c r="G932" s="54" t="n"/>
      <c r="H932" s="54" t="n"/>
      <c r="I932" s="54" t="n"/>
      <c r="J932" s="54" t="n"/>
      <c r="K932" s="54" t="n"/>
      <c r="L932" s="54" t="n"/>
      <c r="M932" s="54" t="n"/>
    </row>
    <row r="933" ht="15.75" customHeight="1" s="51">
      <c r="A933" s="102" t="n"/>
      <c r="B933" s="102" t="n"/>
      <c r="C933" s="94" t="n"/>
      <c r="D933" s="54" t="n"/>
      <c r="E933" s="54" t="n"/>
      <c r="F933" s="54" t="n"/>
      <c r="G933" s="54" t="n"/>
      <c r="H933" s="54" t="n"/>
      <c r="I933" s="54" t="n"/>
      <c r="J933" s="54" t="n"/>
      <c r="K933" s="54" t="n"/>
      <c r="L933" s="54" t="n"/>
      <c r="M933" s="54" t="n"/>
    </row>
    <row r="934" ht="15.75" customHeight="1" s="51">
      <c r="A934" s="102" t="n"/>
      <c r="B934" s="102" t="n"/>
      <c r="C934" s="94" t="n"/>
      <c r="D934" s="54" t="n"/>
      <c r="E934" s="54" t="n"/>
      <c r="F934" s="54" t="n"/>
      <c r="G934" s="54" t="n"/>
      <c r="H934" s="54" t="n"/>
      <c r="I934" s="54" t="n"/>
      <c r="J934" s="54" t="n"/>
      <c r="K934" s="54" t="n"/>
      <c r="L934" s="54" t="n"/>
      <c r="M934" s="54" t="n"/>
    </row>
    <row r="935" ht="15.75" customHeight="1" s="51">
      <c r="A935" s="102" t="n"/>
      <c r="B935" s="102" t="n"/>
      <c r="C935" s="94" t="n"/>
      <c r="D935" s="54" t="n"/>
      <c r="E935" s="54" t="n"/>
      <c r="F935" s="54" t="n"/>
      <c r="G935" s="54" t="n"/>
      <c r="H935" s="54" t="n"/>
      <c r="I935" s="54" t="n"/>
      <c r="J935" s="54" t="n"/>
      <c r="K935" s="54" t="n"/>
      <c r="L935" s="54" t="n"/>
      <c r="M935" s="54" t="n"/>
    </row>
    <row r="936" ht="15.75" customHeight="1" s="51">
      <c r="A936" s="102" t="n"/>
      <c r="B936" s="102" t="n"/>
      <c r="C936" s="94" t="n"/>
      <c r="D936" s="54" t="n"/>
      <c r="E936" s="54" t="n"/>
      <c r="F936" s="54" t="n"/>
      <c r="G936" s="54" t="n"/>
      <c r="H936" s="54" t="n"/>
      <c r="I936" s="54" t="n"/>
      <c r="J936" s="54" t="n"/>
      <c r="K936" s="54" t="n"/>
      <c r="L936" s="54" t="n"/>
      <c r="M936" s="54" t="n"/>
    </row>
    <row r="937" ht="15.75" customHeight="1" s="51">
      <c r="A937" s="102" t="n"/>
      <c r="B937" s="102" t="n"/>
      <c r="C937" s="94" t="n"/>
      <c r="D937" s="54" t="n"/>
      <c r="E937" s="54" t="n"/>
      <c r="F937" s="54" t="n"/>
      <c r="G937" s="54" t="n"/>
      <c r="H937" s="54" t="n"/>
      <c r="I937" s="54" t="n"/>
      <c r="J937" s="54" t="n"/>
      <c r="K937" s="54" t="n"/>
      <c r="L937" s="54" t="n"/>
      <c r="M937" s="54" t="n"/>
    </row>
    <row r="938" ht="15.75" customHeight="1" s="51">
      <c r="A938" s="102" t="n"/>
      <c r="B938" s="102" t="n"/>
      <c r="C938" s="94" t="n"/>
      <c r="D938" s="54" t="n"/>
      <c r="E938" s="54" t="n"/>
      <c r="F938" s="54" t="n"/>
      <c r="G938" s="54" t="n"/>
      <c r="H938" s="54" t="n"/>
      <c r="I938" s="54" t="n"/>
      <c r="J938" s="54" t="n"/>
      <c r="K938" s="54" t="n"/>
      <c r="L938" s="54" t="n"/>
      <c r="M938" s="54" t="n"/>
    </row>
    <row r="939" ht="15.75" customHeight="1" s="51">
      <c r="A939" s="102" t="n"/>
      <c r="B939" s="102" t="n"/>
      <c r="C939" s="94" t="n"/>
      <c r="D939" s="54" t="n"/>
      <c r="E939" s="54" t="n"/>
      <c r="F939" s="54" t="n"/>
      <c r="G939" s="54" t="n"/>
      <c r="H939" s="54" t="n"/>
      <c r="I939" s="54" t="n"/>
      <c r="J939" s="54" t="n"/>
      <c r="K939" s="54" t="n"/>
      <c r="L939" s="54" t="n"/>
      <c r="M939" s="54" t="n"/>
    </row>
    <row r="940" ht="15.75" customHeight="1" s="51">
      <c r="A940" s="102" t="n"/>
      <c r="B940" s="102" t="n"/>
      <c r="C940" s="94" t="n"/>
      <c r="D940" s="54" t="n"/>
      <c r="E940" s="54" t="n"/>
      <c r="F940" s="54" t="n"/>
      <c r="G940" s="54" t="n"/>
      <c r="H940" s="54" t="n"/>
      <c r="I940" s="54" t="n"/>
      <c r="J940" s="54" t="n"/>
      <c r="K940" s="54" t="n"/>
      <c r="L940" s="54" t="n"/>
      <c r="M940" s="54" t="n"/>
    </row>
    <row r="941" ht="15.75" customHeight="1" s="51">
      <c r="A941" s="102" t="n"/>
      <c r="B941" s="102" t="n"/>
      <c r="C941" s="94" t="n"/>
      <c r="D941" s="54" t="n"/>
      <c r="E941" s="54" t="n"/>
      <c r="F941" s="54" t="n"/>
      <c r="G941" s="54" t="n"/>
      <c r="H941" s="54" t="n"/>
      <c r="I941" s="54" t="n"/>
      <c r="J941" s="54" t="n"/>
      <c r="K941" s="54" t="n"/>
      <c r="L941" s="54" t="n"/>
      <c r="M941" s="54" t="n"/>
    </row>
    <row r="942" ht="15.75" customHeight="1" s="51">
      <c r="A942" s="102" t="n"/>
      <c r="B942" s="102" t="n"/>
      <c r="C942" s="94" t="n"/>
      <c r="D942" s="54" t="n"/>
      <c r="E942" s="54" t="n"/>
      <c r="F942" s="54" t="n"/>
      <c r="G942" s="54" t="n"/>
      <c r="H942" s="54" t="n"/>
      <c r="I942" s="54" t="n"/>
      <c r="J942" s="54" t="n"/>
      <c r="K942" s="54" t="n"/>
      <c r="L942" s="54" t="n"/>
      <c r="M942" s="54" t="n"/>
    </row>
    <row r="943" ht="15.75" customHeight="1" s="51">
      <c r="A943" s="102" t="n"/>
      <c r="B943" s="102" t="n"/>
      <c r="C943" s="94" t="n"/>
      <c r="D943" s="54" t="n"/>
      <c r="E943" s="54" t="n"/>
      <c r="F943" s="54" t="n"/>
      <c r="G943" s="54" t="n"/>
      <c r="H943" s="54" t="n"/>
      <c r="I943" s="54" t="n"/>
      <c r="J943" s="54" t="n"/>
      <c r="K943" s="54" t="n"/>
      <c r="L943" s="54" t="n"/>
      <c r="M943" s="54" t="n"/>
    </row>
  </sheetData>
  <mergeCells count="11">
    <mergeCell ref="E12:F12"/>
    <mergeCell ref="B2:C2"/>
    <mergeCell ref="B7:C7"/>
    <mergeCell ref="E7:F7"/>
    <mergeCell ref="E2:F2"/>
    <mergeCell ref="B22:C22"/>
    <mergeCell ref="E22:F22"/>
    <mergeCell ref="B17:C17"/>
    <mergeCell ref="B27:C27"/>
    <mergeCell ref="E17:F17"/>
    <mergeCell ref="B12:C12"/>
  </mergeCells>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B1:N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RowHeight="15.75" zeroHeight="0" outlineLevelRow="0"/>
  <cols>
    <col width="12.63" customWidth="1" style="50" min="1" max="5"/>
    <col width="14.5" customWidth="1" style="50" min="6" max="6"/>
    <col width="12.63" customWidth="1" style="50" min="7" max="1025"/>
  </cols>
  <sheetData>
    <row r="1" ht="15.75" customHeight="1" s="51">
      <c r="B1" s="57" t="inlineStr">
        <is>
          <t>Status</t>
        </is>
      </c>
      <c r="D1" s="57" t="inlineStr">
        <is>
          <t>Priority</t>
        </is>
      </c>
      <c r="F1" s="57" t="inlineStr">
        <is>
          <t>QA RESOURCES</t>
        </is>
      </c>
      <c r="H1" s="57" t="inlineStr">
        <is>
          <t>Browser</t>
        </is>
      </c>
      <c r="J1" s="57" t="inlineStr">
        <is>
          <t>Device</t>
        </is>
      </c>
      <c r="L1" s="57" t="inlineStr">
        <is>
          <t>Project</t>
        </is>
      </c>
      <c r="N1" s="57" t="inlineStr">
        <is>
          <t>Test Category</t>
        </is>
      </c>
    </row>
    <row r="2" ht="15.75" customHeight="1" s="51">
      <c r="B2" s="58" t="inlineStr">
        <is>
          <t>PASS</t>
        </is>
      </c>
      <c r="D2" s="58" t="inlineStr">
        <is>
          <t>LOW</t>
        </is>
      </c>
      <c r="F2" s="58" t="inlineStr">
        <is>
          <t>DARA</t>
        </is>
      </c>
      <c r="H2" s="58" t="inlineStr">
        <is>
          <t>Chrome</t>
        </is>
      </c>
      <c r="J2" s="58" t="inlineStr">
        <is>
          <t>Window OS</t>
        </is>
      </c>
      <c r="L2" s="58" t="inlineStr">
        <is>
          <t>UMPAY</t>
        </is>
      </c>
      <c r="N2" s="58" t="inlineStr">
        <is>
          <t>Positive</t>
        </is>
      </c>
    </row>
    <row r="3" ht="15.75" customHeight="1" s="51">
      <c r="B3" s="58" t="inlineStr">
        <is>
          <t>FAIL</t>
        </is>
      </c>
      <c r="D3" s="58" t="inlineStr">
        <is>
          <t>MEDIUM</t>
        </is>
      </c>
      <c r="F3" s="58" t="inlineStr">
        <is>
          <t>KIMA</t>
        </is>
      </c>
      <c r="H3" s="58" t="inlineStr">
        <is>
          <t>Edge</t>
        </is>
      </c>
      <c r="J3" s="58" t="inlineStr">
        <is>
          <t>Mac OS</t>
        </is>
      </c>
      <c r="L3" s="58" t="inlineStr">
        <is>
          <t>WPAY</t>
        </is>
      </c>
      <c r="N3" s="58" t="inlineStr">
        <is>
          <t>Negative</t>
        </is>
      </c>
    </row>
    <row r="4" ht="15.75" customHeight="1" s="51">
      <c r="B4" s="58" t="inlineStr">
        <is>
          <t>PENDING</t>
        </is>
      </c>
      <c r="D4" s="58" t="inlineStr">
        <is>
          <t>HIGH</t>
        </is>
      </c>
      <c r="F4" s="58" t="inlineStr">
        <is>
          <t>VATHANA</t>
        </is>
      </c>
      <c r="H4" s="58" t="inlineStr">
        <is>
          <t>Safari</t>
        </is>
      </c>
      <c r="J4" s="58" t="inlineStr">
        <is>
          <t>iPad</t>
        </is>
      </c>
      <c r="L4" s="58" t="inlineStr">
        <is>
          <t>OFL</t>
        </is>
      </c>
    </row>
    <row r="5" ht="15.75" customHeight="1" s="51">
      <c r="H5" s="58" t="inlineStr">
        <is>
          <t>Firefox</t>
        </is>
      </c>
      <c r="J5" s="58" t="inlineStr">
        <is>
          <t>Tablet</t>
        </is>
      </c>
      <c r="L5" s="58" t="inlineStr">
        <is>
          <t>UNCS</t>
        </is>
      </c>
    </row>
    <row r="6" ht="15.75" customHeight="1" s="51">
      <c r="H6" s="58" t="inlineStr">
        <is>
          <t>Brave</t>
        </is>
      </c>
      <c r="J6" s="58" t="inlineStr">
        <is>
          <t>iPhone</t>
        </is>
      </c>
    </row>
    <row r="7" ht="15.75" customHeight="1" s="51">
      <c r="H7" s="58" t="inlineStr">
        <is>
          <t>Opera</t>
        </is>
      </c>
      <c r="J7" s="58" t="inlineStr">
        <is>
          <t>Andriod</t>
        </is>
      </c>
    </row>
    <row r="8" ht="15.75" customHeight="1" s="51">
      <c r="H8" s="58" t="inlineStr">
        <is>
          <t>other</t>
        </is>
      </c>
      <c r="I8" s="54" t="n"/>
    </row>
  </sheetData>
  <printOptions horizontalCentered="0" verticalCentered="0" headings="0" gridLines="0" gridLinesSet="1"/>
  <pageMargins left="0.747916666666667" right="0.747916666666667" top="0.9840277777777779" bottom="0.9840277777777779"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2026-09-07T02:02:24Z</dcterms:created>
  <dcterms:modified xsi:type="dcterms:W3CDTF">2026-09-08T11:03:06Z</dcterms:modified>
  <cp:revision>3</cp:revision>
</cp:coreProperties>
</file>